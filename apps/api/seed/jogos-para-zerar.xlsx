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Catalogo" sheetId="2" state="visible" r:id="rId4"/>
    <sheet name="Plano mensal" sheetId="3" state="visible" r:id="rId5"/>
    <sheet name="Painel" sheetId="4" state="visible" r:id="rId6"/>
    <sheet name="Fora do escopo" sheetId="5" state="visible" r:id="rId7"/>
    <sheet name="Nao classificados" sheetId="6" state="visible" r:id="rId8"/>
  </sheets>
  <definedNames>
    <definedName function="false" hidden="true" localSheetId="1" name="_xlnm._FilterDatabase" vbProcedure="false">Catalogo!$A$4:$I$156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<sst xmlns="http://schemas.openxmlformats.org/spreadsheetml/2006/main" count="1456" uniqueCount="702">
  <si>
    <t xml:space="preserve">Como usar esta planilha</t>
  </si>
  <si>
    <t xml:space="preserve">REGRA DE ENTRADA (o que conta como jogo zeravel)</t>
  </si>
  <si>
    <t xml:space="preserve">  Entra: campanha, capitulos ou historia com creditos finais.</t>
  </si>
  <si>
    <t xml:space="preserve">  Fica de fora: roguelike/roguelite, online competitivo, PvP, live service e sandbox sem fim.</t>
  </si>
  <si>
    <t xml:space="preserve">AS ABAS</t>
  </si>
  <si>
    <t xml:space="preserve">  Catalogo ............. lista mestre. E o unico lugar onde voce marca progresso.</t>
  </si>
  <si>
    <t xml:space="preserve">  Plano mensal ......... a rotina: 2 jogos por mes, gerada automaticamente do</t>
  </si>
  <si>
    <t xml:space="preserve">                         catalogo inteiro, ordenada da menor pra maior duracao.</t>
  </si>
  <si>
    <t xml:space="preserve">  Painel ............... contadores automaticos de progresso.</t>
  </si>
  <si>
    <t xml:space="preserve">  Fora do escopo ....... o que foi cortado e por que (roguelike/online/PvP/sandbox).</t>
  </si>
  <si>
    <t xml:space="preserve">  Nao classificados .... jogos obscuros que eu nao conhecia o suficiente pra decidir;</t>
  </si>
  <si>
    <t xml:space="preserve">                         preencha a coluna e mova pra aba certa.</t>
  </si>
  <si>
    <t xml:space="preserve">O QUE VOCE EDITA (celulas em amarelo, texto azul)</t>
  </si>
  <si>
    <t xml:space="preserve">  Catalogo &gt; Status ....... Nao iniciado / Jogando / Zerado / Abandonado (lista suspensa)</t>
  </si>
  <si>
    <t xml:space="preserve">  Catalogo &gt; Zerado em .... data em que fechou o jogo</t>
  </si>
  <si>
    <t xml:space="preserve">  Catalogo &gt; Nota ......... sua nota de 0 a 10</t>
  </si>
  <si>
    <t xml:space="preserve">  Plano mensal &gt; Mes/ano .. se quiser amarrar cada mes a uma data real</t>
  </si>
  <si>
    <t xml:space="preserve">  Tudo em preto e formula ou dado de apoio - pode ajustar, mas nao precisa.</t>
  </si>
  <si>
    <t xml:space="preserve">A HIERARQUIA DE NIVEIS</t>
  </si>
  <si>
    <t xml:space="preserve">  Nivel 1 - Aperitivo .. ate 5h .... uma sentada ou duas</t>
  </si>
  <si>
    <t xml:space="preserve">  Nivel 2 - Leve ....... 6 a 12h ... um fim de semana</t>
  </si>
  <si>
    <t xml:space="preserve">  Nivel 3 - Medio ...... 13 a 25h .. duas a tres semanas</t>
  </si>
  <si>
    <t xml:space="preserve">  Nivel 4 - Denso ...... 26 a 45h .. o mes inteiro</t>
  </si>
  <si>
    <t xml:space="preserve">  Nivel 5 - Maratona ... 46h+ ...... precisa de companhia leve do lado</t>
  </si>
  <si>
    <t xml:space="preserve">COMO A ROTINA FOI MONTADA</t>
  </si>
  <si>
    <t xml:space="preserve">  Todo jogo do Catalogo entra no Plano mensal - nada fica de fora por selecao manual.</t>
  </si>
  <si>
    <t xml:space="preserve">  A fila e ordenada da menor duracao para a maior e dividida em pares (2 jogos = 1 mes),</t>
  </si>
  <si>
    <t xml:space="preserve">  entao o mes 1 e sempre o par mais curto do catalogo inteiro e o ultimo mes e o mais</t>
  </si>
  <si>
    <t xml:space="preserve">  denso (ex.: ELDEN RING, Cyberpunk 2077, The Witcher 3).</t>
  </si>
  <si>
    <t xml:space="preserve">  Fase 1 (25% iniciais) ... aquecimento, jogos curtos.</t>
  </si>
  <si>
    <t xml:space="preserve">  Fase 2 (25-50%) ......... carga sobe devagar.</t>
  </si>
  <si>
    <t xml:space="preserve">  Fase 3 (50-75%) ......... ritmo de cruzeiro.</t>
  </si>
  <si>
    <t xml:space="preserve">  Fase 4 (75-90%) ......... jogos densos.</t>
  </si>
  <si>
    <t xml:space="preserve">  Fase 5 (90-100%) ........ maratonas finais.</t>
  </si>
  <si>
    <t xml:space="preserve">SE ATRASAR</t>
  </si>
  <si>
    <t xml:space="preserve">  Nao remaneje o plano inteiro. Troque o jogo mais longo do mes por um do Nivel 1</t>
  </si>
  <si>
    <t xml:space="preserve">  que ainda esteja livre no Catalogo e siga em frente. A meta e nunca fechar um mes com zero.</t>
  </si>
  <si>
    <t xml:space="preserve">PREMISSAS</t>
  </si>
  <si>
    <t xml:space="preserve">  Horas estimadas = campanha principal, ordem de grandeza (referencia HowLongToBeat).</t>
  </si>
  <si>
    <t xml:space="preserve">  A lista de jogos veio da biblioteca compartilhada da Steam Family informada por voce.</t>
  </si>
  <si>
    <t xml:space="preserve">  Jogos fora do escopo continuam jogaveis - so nao entram na contagem de zerados.</t>
  </si>
  <si>
    <t xml:space="preserve">Catalogo de jogos zeraveis - biblioteca Steam Family</t>
  </si>
  <si>
    <t xml:space="preserve">Preencha apenas as colunas em amarelo (Status, Zerado em, Nota). As demais alimentam o Plano e o Painel.</t>
  </si>
  <si>
    <t xml:space="preserve">Jogo</t>
  </si>
  <si>
    <t xml:space="preserve">Nivel</t>
  </si>
  <si>
    <t xml:space="preserve">Faixa</t>
  </si>
  <si>
    <t xml:space="preserve">Horas est.</t>
  </si>
  <si>
    <t xml:space="preserve">Genero</t>
  </si>
  <si>
    <t xml:space="preserve">Por que e zeravel</t>
  </si>
  <si>
    <t xml:space="preserve">Status</t>
  </si>
  <si>
    <t xml:space="preserve">Zerado em</t>
  </si>
  <si>
    <t xml:space="preserve">Nota (0-10)</t>
  </si>
  <si>
    <t xml:space="preserve">EXEMPLO - apague esta linha</t>
  </si>
  <si>
    <t xml:space="preserve">Nivel 1 - Aperitivo (ate 5h)</t>
  </si>
  <si>
    <t xml:space="preserve">Puzzle</t>
  </si>
  <si>
    <t xml:space="preserve">Campanha curta</t>
  </si>
  <si>
    <t xml:space="preserve">Zerado</t>
  </si>
  <si>
    <t xml:space="preserve">2026-08-15</t>
  </si>
  <si>
    <t xml:space="preserve">Overcooked! (1 e 2)</t>
  </si>
  <si>
    <t xml:space="preserve">Co-op / gerência</t>
  </si>
  <si>
    <t xml:space="preserve">Fases fixas com final</t>
  </si>
  <si>
    <t xml:space="preserve">Nao iniciado</t>
  </si>
  <si>
    <t xml:space="preserve">Jump King</t>
  </si>
  <si>
    <t xml:space="preserve">Plataforma</t>
  </si>
  <si>
    <t xml:space="preserve">Topo fixo = final do jogo</t>
  </si>
  <si>
    <t xml:space="preserve">Little Nightmares</t>
  </si>
  <si>
    <t xml:space="preserve">Terror-puzzle</t>
  </si>
  <si>
    <t xml:space="preserve">Campanha linear com final</t>
  </si>
  <si>
    <t xml:space="preserve">Momodora: Reverie Under the Moonlight</t>
  </si>
  <si>
    <t xml:space="preserve">Metroidvania</t>
  </si>
  <si>
    <t xml:space="preserve">Mapa fixo, final definido</t>
  </si>
  <si>
    <t xml:space="preserve">Neva</t>
  </si>
  <si>
    <t xml:space="preserve">Aventura narrativa</t>
  </si>
  <si>
    <t xml:space="preserve">Reventure</t>
  </si>
  <si>
    <t xml:space="preserve">Aventura</t>
  </si>
  <si>
    <t xml:space="preserve">Finais colecionáveis, escopo fechado</t>
  </si>
  <si>
    <t xml:space="preserve">Terra Nil</t>
  </si>
  <si>
    <t xml:space="preserve">Estratégia / puzzle</t>
  </si>
  <si>
    <t xml:space="preserve">Cada mapa tem final definido</t>
  </si>
  <si>
    <t xml:space="preserve">Titan Souls</t>
  </si>
  <si>
    <t xml:space="preserve">Ação / boss rush</t>
  </si>
  <si>
    <t xml:space="preserve">Número fixo de chefes</t>
  </si>
  <si>
    <t xml:space="preserve">Totally Reliable Delivery Service</t>
  </si>
  <si>
    <t xml:space="preserve">Sandbox físico co-op</t>
  </si>
  <si>
    <t xml:space="preserve">Missões fixas com final</t>
  </si>
  <si>
    <t xml:space="preserve">Biped</t>
  </si>
  <si>
    <t xml:space="preserve">Plataforma co-op</t>
  </si>
  <si>
    <t xml:space="preserve">Campanha de fases fixas</t>
  </si>
  <si>
    <t xml:space="preserve">Castle of Illusion</t>
  </si>
  <si>
    <t xml:space="preserve">Fases fixas até o final</t>
  </si>
  <si>
    <t xml:space="preserve">Eets</t>
  </si>
  <si>
    <t xml:space="preserve">Puzzle-plataforma</t>
  </si>
  <si>
    <t xml:space="preserve">GRIS</t>
  </si>
  <si>
    <t xml:space="preserve">Happy's Humble Burger Farm</t>
  </si>
  <si>
    <t xml:space="preserve">Terror / simulação de trabalho</t>
  </si>
  <si>
    <t xml:space="preserve">Turnos fixos com final</t>
  </si>
  <si>
    <t xml:space="preserve">LIMBO</t>
  </si>
  <si>
    <t xml:space="preserve">No, I'm not a Human</t>
  </si>
  <si>
    <t xml:space="preserve">Terror narrativo</t>
  </si>
  <si>
    <t xml:space="preserve">Campanha fechada</t>
  </si>
  <si>
    <t xml:space="preserve">Nosferatu: The Wrath of Malachi</t>
  </si>
  <si>
    <t xml:space="preserve">Terror</t>
  </si>
  <si>
    <t xml:space="preserve">Campanha com final</t>
  </si>
  <si>
    <t xml:space="preserve">Poppy Playtime</t>
  </si>
  <si>
    <t xml:space="preserve">Capítulos fechados</t>
  </si>
  <si>
    <t xml:space="preserve">That's not my Neighbor</t>
  </si>
  <si>
    <t xml:space="preserve">Puzzle / terror</t>
  </si>
  <si>
    <t xml:space="preserve">Campanha de dias fixos</t>
  </si>
  <si>
    <t xml:space="preserve">The Room</t>
  </si>
  <si>
    <t xml:space="preserve">Sequência fixa de quebra-cabeças</t>
  </si>
  <si>
    <t xml:space="preserve">The Room Two</t>
  </si>
  <si>
    <t xml:space="preserve">Violent Horror Stories: anthology</t>
  </si>
  <si>
    <t xml:space="preserve">Antologia de histórias curtas fechadas</t>
  </si>
  <si>
    <t xml:space="preserve">Five Nights at Freddy's (série)</t>
  </si>
  <si>
    <t xml:space="preserve">Cada jogo tem noites fixas com final</t>
  </si>
  <si>
    <t xml:space="preserve">Journey of a Roach</t>
  </si>
  <si>
    <t xml:space="preserve">Point &amp; click</t>
  </si>
  <si>
    <t xml:space="preserve">Aventura curta com final</t>
  </si>
  <si>
    <t xml:space="preserve">Portal</t>
  </si>
  <si>
    <t xml:space="preserve">Campanha curta e fechada</t>
  </si>
  <si>
    <t xml:space="preserve">The Red Lantern</t>
  </si>
  <si>
    <t xml:space="preserve">Narrativo / sobrevivência</t>
  </si>
  <si>
    <t xml:space="preserve">Jornada curta com final</t>
  </si>
  <si>
    <t xml:space="preserve">Uncanny Tales: Cold Road</t>
  </si>
  <si>
    <t xml:space="preserve">Buckshot Roulette</t>
  </si>
  <si>
    <t xml:space="preserve">Tem fim, não é run infinita</t>
  </si>
  <si>
    <t xml:space="preserve">Journey</t>
  </si>
  <si>
    <t xml:space="preserve">Experiência linear com créditos finais</t>
  </si>
  <si>
    <t xml:space="preserve">Just Ignore Them</t>
  </si>
  <si>
    <t xml:space="preserve">Curto, com finais definidos</t>
  </si>
  <si>
    <t xml:space="preserve">KinitoPET</t>
  </si>
  <si>
    <t xml:space="preserve">Final definitivo</t>
  </si>
  <si>
    <t xml:space="preserve">The Deed</t>
  </si>
  <si>
    <t xml:space="preserve">Visual novel / mistério</t>
  </si>
  <si>
    <t xml:space="preserve">Narrativa curta com finais</t>
  </si>
  <si>
    <t xml:space="preserve">The Dark Queen of Mortholme</t>
  </si>
  <si>
    <t xml:space="preserve">Narrativo</t>
  </si>
  <si>
    <t xml:space="preserve">Jogo de uma sentada, final único</t>
  </si>
  <si>
    <t xml:space="preserve">Devil May Cry HD Collection</t>
  </si>
  <si>
    <t xml:space="preserve">Nivel 2 - Leve (6-12h)</t>
  </si>
  <si>
    <t xml:space="preserve">Ação</t>
  </si>
  <si>
    <t xml:space="preserve">3 jogos com campanha fechada</t>
  </si>
  <si>
    <t xml:space="preserve">Half-Life (série)</t>
  </si>
  <si>
    <t xml:space="preserve">Tiro / narrativo</t>
  </si>
  <si>
    <t xml:space="preserve">Campanhas fechadas (HL1, HL2 e episódios)</t>
  </si>
  <si>
    <t xml:space="preserve">The Survivalists</t>
  </si>
  <si>
    <t xml:space="preserve">Sobrevivência / aventura</t>
  </si>
  <si>
    <t xml:space="preserve">Tem objetivo final de história (fuga da ilha)</t>
  </si>
  <si>
    <t xml:space="preserve">Alan Wake</t>
  </si>
  <si>
    <t xml:space="preserve">Terror / narrativo</t>
  </si>
  <si>
    <t xml:space="preserve">Campanha episódica fechada</t>
  </si>
  <si>
    <t xml:space="preserve">Cuphead</t>
  </si>
  <si>
    <t xml:space="preserve">Run &amp; gun</t>
  </si>
  <si>
    <t xml:space="preserve">DRAGON BALL: Sparking! ZERO</t>
  </si>
  <si>
    <t xml:space="preserve">Luta</t>
  </si>
  <si>
    <t xml:space="preserve">Modo história fechado</t>
  </si>
  <si>
    <t xml:space="preserve">Death's Door</t>
  </si>
  <si>
    <t xml:space="preserve">Ação-aventura</t>
  </si>
  <si>
    <t xml:space="preserve">Deponia</t>
  </si>
  <si>
    <t xml:space="preserve">Aventura com final</t>
  </si>
  <si>
    <t xml:space="preserve">Devil May Cry 4 Special Edition</t>
  </si>
  <si>
    <t xml:space="preserve">DmC Devil May Cry</t>
  </si>
  <si>
    <t xml:space="preserve">Campanha fechada (reboot)</t>
  </si>
  <si>
    <t xml:space="preserve">Heavy Rain</t>
  </si>
  <si>
    <t xml:space="preserve">Campanha com finais definidos</t>
  </si>
  <si>
    <t xml:space="preserve">Inscryption</t>
  </si>
  <si>
    <t xml:space="preserve">Deckbuilder narrativo</t>
  </si>
  <si>
    <t xml:space="preserve">Narrativa com final definido, apesar de elementos roguelike</t>
  </si>
  <si>
    <t xml:space="preserve">LEGO® Jurassic World</t>
  </si>
  <si>
    <t xml:space="preserve">Left 4 Dead (1 e 2)</t>
  </si>
  <si>
    <t xml:space="preserve">Tiro co-op</t>
  </si>
  <si>
    <t xml:space="preserve">Campanhas fixas com final</t>
  </si>
  <si>
    <t xml:space="preserve">Metro 2033 Redux</t>
  </si>
  <si>
    <t xml:space="preserve">Campanha linear</t>
  </si>
  <si>
    <t xml:space="preserve">POSTAL 2</t>
  </si>
  <si>
    <t xml:space="preserve">Campanha de dias fixos com final</t>
  </si>
  <si>
    <t xml:space="preserve">Realms of the Haunting</t>
  </si>
  <si>
    <t xml:space="preserve">Aventura / terror</t>
  </si>
  <si>
    <t xml:space="preserve">Wuppo - Definitive Edition</t>
  </si>
  <si>
    <t xml:space="preserve">Aventura / plataforma</t>
  </si>
  <si>
    <t xml:space="preserve">Celeste</t>
  </si>
  <si>
    <t xml:space="preserve">Capítulos fixos</t>
  </si>
  <si>
    <t xml:space="preserve">Mortal Kombat X</t>
  </si>
  <si>
    <t xml:space="preserve">Ori and the Blind Forest</t>
  </si>
  <si>
    <t xml:space="preserve">Portal 2</t>
  </si>
  <si>
    <t xml:space="preserve">Super Meat Boy</t>
  </si>
  <si>
    <t xml:space="preserve">Fases fixas</t>
  </si>
  <si>
    <t xml:space="preserve">Beat Cop</t>
  </si>
  <si>
    <t xml:space="preserve">Simulação narrativa</t>
  </si>
  <si>
    <t xml:space="preserve">Número fixo de dias</t>
  </si>
  <si>
    <t xml:space="preserve">Castle Crashers</t>
  </si>
  <si>
    <t xml:space="preserve">Brawler co-op</t>
  </si>
  <si>
    <t xml:space="preserve">Demon Slayer -Kimetsu no Yaiba- The Hinokami Chronicles</t>
  </si>
  <si>
    <t xml:space="preserve">Luta / narrativo</t>
  </si>
  <si>
    <t xml:space="preserve">Gravity Circuit</t>
  </si>
  <si>
    <t xml:space="preserve">Ação-plataforma</t>
  </si>
  <si>
    <t xml:space="preserve">Injustice: Gods Among Us Ultimate Edition</t>
  </si>
  <si>
    <t xml:space="preserve">Lucius</t>
  </si>
  <si>
    <t xml:space="preserve">Magicka 2</t>
  </si>
  <si>
    <t xml:space="preserve">Ação co-op</t>
  </si>
  <si>
    <t xml:space="preserve">Marvel's Spider-Man: Miles Morales</t>
  </si>
  <si>
    <t xml:space="preserve">Campanha principal fechada</t>
  </si>
  <si>
    <t xml:space="preserve">Mortal Kombat Komplete Edition</t>
  </si>
  <si>
    <t xml:space="preserve">Outlast (1 e 2)</t>
  </si>
  <si>
    <t xml:space="preserve">Campanhas fechadas</t>
  </si>
  <si>
    <t xml:space="preserve">Remothered: Tormented Fathers</t>
  </si>
  <si>
    <t xml:space="preserve">Scribblenauts Unlimited</t>
  </si>
  <si>
    <t xml:space="preserve">Shadows on the Vatican - Act I: Greed</t>
  </si>
  <si>
    <t xml:space="preserve">Teardown</t>
  </si>
  <si>
    <t xml:space="preserve">Sandbox de missões</t>
  </si>
  <si>
    <t xml:space="preserve">Campanha de missões fixas</t>
  </si>
  <si>
    <t xml:space="preserve">The Invincible</t>
  </si>
  <si>
    <t xml:space="preserve">Ficção científica narrativa</t>
  </si>
  <si>
    <t xml:space="preserve">The Painscreek Killings</t>
  </si>
  <si>
    <t xml:space="preserve">Mistério / exploração</t>
  </si>
  <si>
    <t xml:space="preserve">Undertale</t>
  </si>
  <si>
    <t xml:space="preserve">RPG narrativo</t>
  </si>
  <si>
    <t xml:space="preserve">Campanha com múltiplos finais definidos</t>
  </si>
  <si>
    <t xml:space="preserve">Worms Revolution</t>
  </si>
  <si>
    <t xml:space="preserve">Estratégia por turnos</t>
  </si>
  <si>
    <t xml:space="preserve">Dispatch</t>
  </si>
  <si>
    <t xml:space="preserve">Episódios fechados</t>
  </si>
  <si>
    <t xml:space="preserve">Hotline Miami</t>
  </si>
  <si>
    <t xml:space="preserve">Max Payne</t>
  </si>
  <si>
    <t xml:space="preserve">Max Payne 2</t>
  </si>
  <si>
    <t xml:space="preserve">Papers, Please</t>
  </si>
  <si>
    <t xml:space="preserve">Tell Me Why</t>
  </si>
  <si>
    <t xml:space="preserve">Besiege</t>
  </si>
  <si>
    <t xml:space="preserve">Construção física</t>
  </si>
  <si>
    <t xml:space="preserve">Campanha de níveis fixos (sandbox, mas com fim)</t>
  </si>
  <si>
    <t xml:space="preserve">CARRION</t>
  </si>
  <si>
    <t xml:space="preserve">Ação / metroidvania</t>
  </si>
  <si>
    <t xml:space="preserve">Call of Duty: Modern Warfare 2 (2009)</t>
  </si>
  <si>
    <t xml:space="preserve">Tiro</t>
  </si>
  <si>
    <t xml:space="preserve">Campanha linear (modo campanha)</t>
  </si>
  <si>
    <t xml:space="preserve">Call of Juarez Gunslinger</t>
  </si>
  <si>
    <t xml:space="preserve">Killer Frequency</t>
  </si>
  <si>
    <t xml:space="preserve">Uma noite, final único</t>
  </si>
  <si>
    <t xml:space="preserve">Little Nightmares II</t>
  </si>
  <si>
    <t xml:space="preserve">Pseudoregalia</t>
  </si>
  <si>
    <t xml:space="preserve">Metroidvania 3D</t>
  </si>
  <si>
    <t xml:space="preserve">Spec Ops: The Line</t>
  </si>
  <si>
    <t xml:space="preserve">Borderlands: The Pre-Sequel</t>
  </si>
  <si>
    <t xml:space="preserve">Nivel 3 - Medio (13-25h)</t>
  </si>
  <si>
    <t xml:space="preserve">Tiro-RPG</t>
  </si>
  <si>
    <t xml:space="preserve">Crash Bandicoot N. Sane Trilogy</t>
  </si>
  <si>
    <t xml:space="preserve">Três campanhas fixas</t>
  </si>
  <si>
    <t xml:space="preserve">DRAGON BALL XENOVERSE (1 e 2)</t>
  </si>
  <si>
    <t xml:space="preserve">Ação / RPG</t>
  </si>
  <si>
    <t xml:space="preserve">Dying Light: The Beast</t>
  </si>
  <si>
    <t xml:space="preserve">Ação / sobrevivência</t>
  </si>
  <si>
    <t xml:space="preserve">Saints Row 2</t>
  </si>
  <si>
    <t xml:space="preserve">Ação mundo aberto</t>
  </si>
  <si>
    <t xml:space="preserve">The Witcher 2: Assassins of Kings</t>
  </si>
  <si>
    <t xml:space="preserve">RPG</t>
  </si>
  <si>
    <t xml:space="preserve">The Witcher: Enhanced Edition</t>
  </si>
  <si>
    <t xml:space="preserve">Far Cry 3</t>
  </si>
  <si>
    <t xml:space="preserve">Tiro mundo aberto</t>
  </si>
  <si>
    <t xml:space="preserve">Alien: Isolation</t>
  </si>
  <si>
    <t xml:space="preserve">Batman™: Arkham Knight</t>
  </si>
  <si>
    <t xml:space="preserve">Dying Light</t>
  </si>
  <si>
    <t xml:space="preserve">Control Ultimate Edition</t>
  </si>
  <si>
    <t xml:space="preserve">Campanha + DLCs fechados</t>
  </si>
  <si>
    <t xml:space="preserve">Marvel's Spider-Man Remastered</t>
  </si>
  <si>
    <t xml:space="preserve">Just Cause 3</t>
  </si>
  <si>
    <t xml:space="preserve">Metro Exodus</t>
  </si>
  <si>
    <t xml:space="preserve">Batman: Arkham City GOTY</t>
  </si>
  <si>
    <t xml:space="preserve">Dead Rising 3</t>
  </si>
  <si>
    <t xml:space="preserve">Devil May Cry 5</t>
  </si>
  <si>
    <t xml:space="preserve">Missões fixas</t>
  </si>
  <si>
    <t xml:space="preserve">HITMAN™ 2</t>
  </si>
  <si>
    <t xml:space="preserve">Ação furtiva</t>
  </si>
  <si>
    <t xml:space="preserve">Missões fixas, campanha fechada</t>
  </si>
  <si>
    <t xml:space="preserve">Just Cause 2</t>
  </si>
  <si>
    <t xml:space="preserve">Middle-earth: Shadow of Mordor</t>
  </si>
  <si>
    <t xml:space="preserve">Subnautica: Below Zero</t>
  </si>
  <si>
    <t xml:space="preserve">Sobrevivência</t>
  </si>
  <si>
    <t xml:space="preserve">Tem final de história definido</t>
  </si>
  <si>
    <t xml:space="preserve">The Incredible Adventures of Van Helsing</t>
  </si>
  <si>
    <t xml:space="preserve">RPG de ação</t>
  </si>
  <si>
    <t xml:space="preserve">The Last of Us Part I</t>
  </si>
  <si>
    <t xml:space="preserve">Ação-aventura narrativa</t>
  </si>
  <si>
    <t xml:space="preserve">UNSIGHTED</t>
  </si>
  <si>
    <t xml:space="preserve">Batman™: Arkham Origins</t>
  </si>
  <si>
    <t xml:space="preserve">Blasphemous</t>
  </si>
  <si>
    <t xml:space="preserve">BioShock Infinite</t>
  </si>
  <si>
    <t xml:space="preserve">Life is Strange</t>
  </si>
  <si>
    <t xml:space="preserve">5 episódios fechados</t>
  </si>
  <si>
    <t xml:space="preserve">Metro: Last Light Redux</t>
  </si>
  <si>
    <t xml:space="preserve">The Life and Suffering of Sir Brante</t>
  </si>
  <si>
    <t xml:space="preserve">Vida com fim definido</t>
  </si>
  <si>
    <t xml:space="preserve">The Walking Dead</t>
  </si>
  <si>
    <t xml:space="preserve">Temporada fechada</t>
  </si>
  <si>
    <t xml:space="preserve">Batman: Arkham Asylum GOTY Edition</t>
  </si>
  <si>
    <t xml:space="preserve">BioShock 2</t>
  </si>
  <si>
    <t xml:space="preserve">BioShock Remastered</t>
  </si>
  <si>
    <t xml:space="preserve">Dead Space</t>
  </si>
  <si>
    <t xml:space="preserve">Terror / tiro</t>
  </si>
  <si>
    <t xml:space="preserve">Dead Space™ 3</t>
  </si>
  <si>
    <t xml:space="preserve">Detroit: Become Human</t>
  </si>
  <si>
    <t xml:space="preserve">This War of Mine</t>
  </si>
  <si>
    <t xml:space="preserve">Sobrevivência narrativa</t>
  </si>
  <si>
    <t xml:space="preserve">Cenários com fim definido</t>
  </si>
  <si>
    <t xml:space="preserve">Beyond: Two Souls</t>
  </si>
  <si>
    <t xml:space="preserve">Resident Evil (série)</t>
  </si>
  <si>
    <t xml:space="preserve">Terror / ação</t>
  </si>
  <si>
    <t xml:space="preserve">Cada jogo tem campanha fechada</t>
  </si>
  <si>
    <t xml:space="preserve">DARK SOULS: REMASTERED</t>
  </si>
  <si>
    <t xml:space="preserve">Nivel 4 - Denso (26-45h)</t>
  </si>
  <si>
    <t xml:space="preserve">Rain World</t>
  </si>
  <si>
    <t xml:space="preserve">Sobrevivência / plataforma</t>
  </si>
  <si>
    <t xml:space="preserve">Jornada com final</t>
  </si>
  <si>
    <t xml:space="preserve">Dragon's Dogma: Dark Arisen</t>
  </si>
  <si>
    <t xml:space="preserve">Hogwarts Legacy</t>
  </si>
  <si>
    <t xml:space="preserve">RPG mundo aberto</t>
  </si>
  <si>
    <t xml:space="preserve">Grand Theft Auto V (campanha)</t>
  </si>
  <si>
    <t xml:space="preserve">Borderlands 2</t>
  </si>
  <si>
    <t xml:space="preserve">DAVE THE DIVER</t>
  </si>
  <si>
    <t xml:space="preserve">Aventura / gerência</t>
  </si>
  <si>
    <t xml:space="preserve">História com créditos finais</t>
  </si>
  <si>
    <t xml:space="preserve">Dying Light 2</t>
  </si>
  <si>
    <t xml:space="preserve">Fallout 3 - Game of the Year Edition</t>
  </si>
  <si>
    <t xml:space="preserve">Graveyard Keeper</t>
  </si>
  <si>
    <t xml:space="preserve">Gerência</t>
  </si>
  <si>
    <t xml:space="preserve">Linha de história com final</t>
  </si>
  <si>
    <t xml:space="preserve">Subnautica</t>
  </si>
  <si>
    <t xml:space="preserve">Tem final de história (fuga do planeta)</t>
  </si>
  <si>
    <t xml:space="preserve">Hollow Knight</t>
  </si>
  <si>
    <t xml:space="preserve">God of War</t>
  </si>
  <si>
    <t xml:space="preserve">Bully: Scholarship Edition</t>
  </si>
  <si>
    <t xml:space="preserve">Ano letivo com fim</t>
  </si>
  <si>
    <t xml:space="preserve">The Last of Us Part II</t>
  </si>
  <si>
    <t xml:space="preserve">Cyberpunk 2077</t>
  </si>
  <si>
    <t xml:space="preserve">Nivel 5 - Maratona (46h+)</t>
  </si>
  <si>
    <t xml:space="preserve">ELDEN RING</t>
  </si>
  <si>
    <t xml:space="preserve">RPG de ação mundo aberto</t>
  </si>
  <si>
    <t xml:space="preserve">Campanha com final definido</t>
  </si>
  <si>
    <t xml:space="preserve">The Witcher 3: Wild Hunt</t>
  </si>
  <si>
    <t xml:space="preserve">DARK SOULS II: Scholar of the First Sin</t>
  </si>
  <si>
    <t xml:space="preserve">Fallout 4</t>
  </si>
  <si>
    <t xml:space="preserve">Monster Hunter: World</t>
  </si>
  <si>
    <t xml:space="preserve">Ação / caça</t>
  </si>
  <si>
    <t xml:space="preserve">História principal tem fim (pós-jogo é opcional)</t>
  </si>
  <si>
    <t xml:space="preserve">DARK SOULS III</t>
  </si>
  <si>
    <t xml:space="preserve">Horas estimadas = campanha principal, ordem de grandeza (referencia HowLongToBeat). Ajuste livremente.</t>
  </si>
  <si>
    <t xml:space="preserve">Rotina de zeramento - 2 jogos por mes, do mais leve ao mais denso</t>
  </si>
  <si>
    <t xml:space="preserve">Um mes = um jogo curto + um mais longo. O Status vem do Catalogo automaticamente; edite so a coluna Mes/ano se quiser fixar datas.</t>
  </si>
  <si>
    <t xml:space="preserve">Mes</t>
  </si>
  <si>
    <t xml:space="preserve">Fase</t>
  </si>
  <si>
    <t xml:space="preserve">Mes/ano</t>
  </si>
  <si>
    <t xml:space="preserve">Horas do mes</t>
  </si>
  <si>
    <t xml:space="preserve">Fase 1 - Aquecimento</t>
  </si>
  <si>
    <t xml:space="preserve">Fase 2 - Ritmo</t>
  </si>
  <si>
    <t xml:space="preserve">Fase 3 - Consolidacao</t>
  </si>
  <si>
    <t xml:space="preserve">Fase 4 - Densos</t>
  </si>
  <si>
    <t xml:space="preserve">Fase 5 - Maratonas</t>
  </si>
  <si>
    <t xml:space="preserve">Total do plano (horas)</t>
  </si>
  <si>
    <t xml:space="preserve">Total de jogos no plano</t>
  </si>
  <si>
    <t xml:space="preserve">Painel de progresso</t>
  </si>
  <si>
    <t xml:space="preserve">Resumo geral</t>
  </si>
  <si>
    <t xml:space="preserve">Jogos no catalogo</t>
  </si>
  <si>
    <t xml:space="preserve">Zerados</t>
  </si>
  <si>
    <t xml:space="preserve">Jogando agora</t>
  </si>
  <si>
    <t xml:space="preserve">Abandonados</t>
  </si>
  <si>
    <t xml:space="preserve">Nao iniciados</t>
  </si>
  <si>
    <t xml:space="preserve">% concluido</t>
  </si>
  <si>
    <t xml:space="preserve">Horas totais do catalogo</t>
  </si>
  <si>
    <t xml:space="preserve">Horas ja zeradas</t>
  </si>
  <si>
    <t xml:space="preserve">Horas restantes</t>
  </si>
  <si>
    <t xml:space="preserve">Por nivel</t>
  </si>
  <si>
    <t xml:space="preserve">Total</t>
  </si>
  <si>
    <t xml:space="preserve">% do nivel</t>
  </si>
  <si>
    <t xml:space="preserve">TOTAL</t>
  </si>
  <si>
    <t xml:space="preserve">Meta: 2 jogos zerados por mes. No ritmo do plano, o catalogo inteiro leva ~76 meses.</t>
  </si>
  <si>
    <t xml:space="preserve">Jogos deixados de fora (sem fim definido)</t>
  </si>
  <si>
    <t xml:space="preserve">Roguelikes, online/PvP, live service e sandbox: nao ha o que zerar.</t>
  </si>
  <si>
    <t xml:space="preserve">Jogo / grupo</t>
  </si>
  <si>
    <t xml:space="preserve">Motivo</t>
  </si>
  <si>
    <t xml:space="preserve">Counter-Strike 2</t>
  </si>
  <si>
    <t xml:space="preserve">Online competitivo / PvP - sem fim</t>
  </si>
  <si>
    <t xml:space="preserve">Dota 2</t>
  </si>
  <si>
    <t xml:space="preserve">MOBA online / PvP - sem fim</t>
  </si>
  <si>
    <t xml:space="preserve">PUBG: BATTLEGROUNDS</t>
  </si>
  <si>
    <t xml:space="preserve">Battle royale online / PvP - sem fim</t>
  </si>
  <si>
    <t xml:space="preserve">Rust</t>
  </si>
  <si>
    <t xml:space="preserve">Survival online / PvP - sem fim</t>
  </si>
  <si>
    <t xml:space="preserve">DayZ</t>
  </si>
  <si>
    <t xml:space="preserve">Dead by Daylight</t>
  </si>
  <si>
    <t xml:space="preserve">Multiplayer assimetrico / PvP - sem fim</t>
  </si>
  <si>
    <t xml:space="preserve">Destiny 2</t>
  </si>
  <si>
    <t xml:space="preserve">Live service - conteudo continuo</t>
  </si>
  <si>
    <t xml:space="preserve">Path of Exile / Path of Exile 2</t>
  </si>
  <si>
    <t xml:space="preserve">ARPG de temporadas - sem fim</t>
  </si>
  <si>
    <t xml:space="preserve">Sea of Thieves</t>
  </si>
  <si>
    <t xml:space="preserve">Mundo persistente online - sem fim</t>
  </si>
  <si>
    <t xml:space="preserve">Delta Force</t>
  </si>
  <si>
    <t xml:space="preserve">Tiro online / PvP - sem fim</t>
  </si>
  <si>
    <t xml:space="preserve">Brawlhalla</t>
  </si>
  <si>
    <t xml:space="preserve">Luta online / PvP - sem fim</t>
  </si>
  <si>
    <t xml:space="preserve">MultiVersus</t>
  </si>
  <si>
    <t xml:space="preserve">Street Fighter 6 / Street Fighter V</t>
  </si>
  <si>
    <t xml:space="preserve">Luta competitiva - sem campanha de peso</t>
  </si>
  <si>
    <t xml:space="preserve">TEKKEN 7</t>
  </si>
  <si>
    <t xml:space="preserve">NBA 2K25 / EA SPORTS FC 26 / eFootball</t>
  </si>
  <si>
    <t xml:space="preserve">Esporte anual online - temporadas sem fim</t>
  </si>
  <si>
    <t xml:space="preserve">Deep Rock Galactic</t>
  </si>
  <si>
    <t xml:space="preserve">Co-op procedural - missoes infinitas</t>
  </si>
  <si>
    <t xml:space="preserve">Lethal Company / R.E.P.O. / PEAK / Content Warning</t>
  </si>
  <si>
    <t xml:space="preserve">Co-op procedural - runs infinitas</t>
  </si>
  <si>
    <t xml:space="preserve">Dead Cells</t>
  </si>
  <si>
    <t xml:space="preserve">Roguelike - runs infinitas</t>
  </si>
  <si>
    <t xml:space="preserve">Cult of the Lamb</t>
  </si>
  <si>
    <t xml:space="preserve">Roguelite + gerencia continua</t>
  </si>
  <si>
    <t xml:space="preserve">Slay the Spire</t>
  </si>
  <si>
    <t xml:space="preserve">Roguelike deckbuilder - runs infinitas</t>
  </si>
  <si>
    <t xml:space="preserve">The Binding of Isaac: Rebirth</t>
  </si>
  <si>
    <t xml:space="preserve">Brotato</t>
  </si>
  <si>
    <t xml:space="preserve">Roguelite - runs infinitas</t>
  </si>
  <si>
    <t xml:space="preserve">Enter the Gungeon / Exit the Gungeon</t>
  </si>
  <si>
    <t xml:space="preserve">Megabonk / Seraph's Last Stand</t>
  </si>
  <si>
    <t xml:space="preserve">Risk of Rain / Scarlet Tower</t>
  </si>
  <si>
    <t xml:space="preserve">Terraria</t>
  </si>
  <si>
    <t xml:space="preserve">Sandbox - progressao aberta</t>
  </si>
  <si>
    <t xml:space="preserve">Stardew Valley</t>
  </si>
  <si>
    <t xml:space="preserve">Simulacao de vida - sem fim</t>
  </si>
  <si>
    <t xml:space="preserve">Project Zomboid</t>
  </si>
  <si>
    <t xml:space="preserve">Survival sandbox - sem fim</t>
  </si>
  <si>
    <t xml:space="preserve">Valheim</t>
  </si>
  <si>
    <t xml:space="preserve">The Forest / Sons Of The Forest</t>
  </si>
  <si>
    <t xml:space="preserve">Survival sandbox - foco em base building</t>
  </si>
  <si>
    <t xml:space="preserve">Green Hell</t>
  </si>
  <si>
    <t xml:space="preserve">Survival sandbox</t>
  </si>
  <si>
    <t xml:space="preserve">Raft / Icarus</t>
  </si>
  <si>
    <t xml:space="preserve">Garry's Mod</t>
  </si>
  <si>
    <t xml:space="preserve">Sandbox puro</t>
  </si>
  <si>
    <t xml:space="preserve">Kerbal Space Program</t>
  </si>
  <si>
    <t xml:space="preserve">Sandbox / simulacao aberta</t>
  </si>
  <si>
    <t xml:space="preserve">Planet Coaster / Planet Zoo</t>
  </si>
  <si>
    <t xml:space="preserve">Sandbox de gerencia - sem fim</t>
  </si>
  <si>
    <t xml:space="preserve">Euro Truck Simulator 2 / American Truck Simulator</t>
  </si>
  <si>
    <t xml:space="preserve">Simulacao aberta - sem fim</t>
  </si>
  <si>
    <t xml:space="preserve">Assetto Corsa / Assetto Corsa Competizione / Automobilista 2</t>
  </si>
  <si>
    <t xml:space="preserve">Simulador de corrida - sem campanha</t>
  </si>
  <si>
    <t xml:space="preserve">Bloons TD 6</t>
  </si>
  <si>
    <t xml:space="preserve">Tower defense infinito</t>
  </si>
  <si>
    <t xml:space="preserve">Geometry Dash</t>
  </si>
  <si>
    <t xml:space="preserve">Conteudo da comunidade - infinito</t>
  </si>
  <si>
    <t xml:space="preserve">Schedule I</t>
  </si>
  <si>
    <t xml:space="preserve">Plague Inc: Evolved</t>
  </si>
  <si>
    <t xml:space="preserve">Sandbox de simulacao - sem fim</t>
  </si>
  <si>
    <t xml:space="preserve">Don't Starve Together</t>
  </si>
  <si>
    <t xml:space="preserve">Survival sandbox co-op</t>
  </si>
  <si>
    <t xml:space="preserve">ARK: Survival Evolved</t>
  </si>
  <si>
    <t xml:space="preserve">Tom Clancy's Rainbow Six Siege</t>
  </si>
  <si>
    <t xml:space="preserve">Tiro tatico online / PvP</t>
  </si>
  <si>
    <t xml:space="preserve">Goose Goose Duck / Crab Game</t>
  </si>
  <si>
    <t xml:space="preserve">Social multiplayer - sem fim</t>
  </si>
  <si>
    <t xml:space="preserve">Stick Fight / Move or Die / Ultimate Chicken Horse</t>
  </si>
  <si>
    <t xml:space="preserve">Party PvP local/online</t>
  </si>
  <si>
    <t xml:space="preserve">Kingdom Two Crowns / Kingdom: New Lands</t>
  </si>
  <si>
    <t xml:space="preserve">Ciclos procedurais sem final claro</t>
  </si>
  <si>
    <t xml:space="preserve">Slime Rancher</t>
  </si>
  <si>
    <t xml:space="preserve">Sandbox de gerencia - progressao aberta</t>
  </si>
  <si>
    <t xml:space="preserve">The Long Drive</t>
  </si>
  <si>
    <t xml:space="preserve">Sandbox procedural infinito</t>
  </si>
  <si>
    <t xml:space="preserve">Counter-Strike / Counter-Strike: Condition Zero / Counter-Strike: Source</t>
  </si>
  <si>
    <t xml:space="preserve">100% Orange Juice</t>
  </si>
  <si>
    <t xml:space="preserve">Board game competitivo online - sem fim fixo</t>
  </si>
  <si>
    <t xml:space="preserve">AdventureQuest 3D</t>
  </si>
  <si>
    <t xml:space="preserve">MMORPG - sem fim</t>
  </si>
  <si>
    <t xml:space="preserve">Aimlabs</t>
  </si>
  <si>
    <t xml:space="preserve">Treino de mira - sem campanha</t>
  </si>
  <si>
    <t xml:space="preserve">After Inc: Revival</t>
  </si>
  <si>
    <t xml:space="preserve">Sobrevivência/crafting online - sem fim</t>
  </si>
  <si>
    <t xml:space="preserve">Anomaly Warzone Earth (modo online)</t>
  </si>
  <si>
    <t xml:space="preserve">Ja incluso no catalogo - campanha propria</t>
  </si>
  <si>
    <t xml:space="preserve">Archeblade</t>
  </si>
  <si>
    <t xml:space="preserve">ARK: Survival Of The Fittest</t>
  </si>
  <si>
    <t xml:space="preserve">ASTRONEER</t>
  </si>
  <si>
    <t xml:space="preserve">Sandbox espacial - progressao aberta</t>
  </si>
  <si>
    <t xml:space="preserve">Banana</t>
  </si>
  <si>
    <t xml:space="preserve">Clicker cosmetico - sem fim</t>
  </si>
  <si>
    <t xml:space="preserve">Barony</t>
  </si>
  <si>
    <t xml:space="preserve">Roguelike co-op - runs infinitas</t>
  </si>
  <si>
    <t xml:space="preserve">Bilhar 3D - Pool</t>
  </si>
  <si>
    <t xml:space="preserve">Simulador esportivo - sem fim</t>
  </si>
  <si>
    <t xml:space="preserve">Black Squad / Blacklight: Retribution</t>
  </si>
  <si>
    <t xml:space="preserve">Blood and Bacon</t>
  </si>
  <si>
    <t xml:space="preserve">Arena PvP - sem fim</t>
  </si>
  <si>
    <t xml:space="preserve">Car Mechanic Simulator 2018</t>
  </si>
  <si>
    <t xml:space="preserve">Sandbox de gerencia - sem fim fixo</t>
  </si>
  <si>
    <t xml:space="preserve">Casino Poker</t>
  </si>
  <si>
    <t xml:space="preserve">Jogo de cartas - sem fim</t>
  </si>
  <si>
    <t xml:space="preserve">Caveman World: Mountains of Unga Boonga</t>
  </si>
  <si>
    <t xml:space="preserve">Sandbox / idle - sem fim</t>
  </si>
  <si>
    <t xml:space="preserve">Chamber Survival</t>
  </si>
  <si>
    <t xml:space="preserve">Sobrevivencia - sem fim</t>
  </si>
  <si>
    <t xml:space="preserve">Chess the Gathering</t>
  </si>
  <si>
    <t xml:space="preserve">Xadrez/cartas competitivo - sem campanha fixa</t>
  </si>
  <si>
    <t xml:space="preserve">Children of Morta</t>
  </si>
  <si>
    <t xml:space="preserve">City Car Driving</t>
  </si>
  <si>
    <t xml:space="preserve">Simulador de direcao - sem fim</t>
  </si>
  <si>
    <t xml:space="preserve">CreativeDestruction</t>
  </si>
  <si>
    <t xml:space="preserve">Battle royale sandbox - sem fim</t>
  </si>
  <si>
    <t xml:space="preserve">Cubic Castles</t>
  </si>
  <si>
    <t xml:space="preserve">Sandbox MMO - sem fim</t>
  </si>
  <si>
    <t xml:space="preserve">Dead Island: Epidemic</t>
  </si>
  <si>
    <t xml:space="preserve">MOBA - sem fim</t>
  </si>
  <si>
    <t xml:space="preserve">Dead or Alive 5 Last Round</t>
  </si>
  <si>
    <t xml:space="preserve">Luta competitiva - foco em PvP</t>
  </si>
  <si>
    <t xml:space="preserve">Deadbreed</t>
  </si>
  <si>
    <t xml:space="preserve">Brawler PvP - sem fim</t>
  </si>
  <si>
    <t xml:space="preserve">Death Fungeon</t>
  </si>
  <si>
    <t xml:space="preserve">Demon Slayer (modo online)</t>
  </si>
  <si>
    <t xml:space="preserve">Ja incluso no catalogo - modo historia proprio</t>
  </si>
  <si>
    <t xml:space="preserve">Dirty Bomb</t>
  </si>
  <si>
    <t xml:space="preserve">Disney Infinity 3.0: Play Without Limits</t>
  </si>
  <si>
    <t xml:space="preserve">Sandbox toys-to-life - sem fim</t>
  </si>
  <si>
    <t xml:space="preserve">Dome Keeper</t>
  </si>
  <si>
    <t xml:space="preserve">DRAGON BALL FighterZ</t>
  </si>
  <si>
    <t xml:space="preserve">Drift On Snow / Drift86</t>
  </si>
  <si>
    <t xml:space="preserve">Simulador de corrida - sem fim</t>
  </si>
  <si>
    <t xml:space="preserve">Endless Winter</t>
  </si>
  <si>
    <t xml:space="preserve">Estrategia 4X - sem fim (o nome ja avisa)</t>
  </si>
  <si>
    <t xml:space="preserve">Evolve Stage 2</t>
  </si>
  <si>
    <t xml:space="preserve">F.E.A.R. Online</t>
  </si>
  <si>
    <t xml:space="preserve">Farlight 84</t>
  </si>
  <si>
    <t xml:space="preserve">Battle royale - sem fim</t>
  </si>
  <si>
    <t xml:space="preserve">Fishing Planet</t>
  </si>
  <si>
    <t xml:space="preserve">Simulador de pesca - sem fim</t>
  </si>
  <si>
    <t xml:space="preserve">FOR HONOR / For Honor - Public Test</t>
  </si>
  <si>
    <t xml:space="preserve">Forza Horizon 4</t>
  </si>
  <si>
    <t xml:space="preserve">Corrida mundo aberto - sem fim fixo</t>
  </si>
  <si>
    <t xml:space="preserve">Game Dev Tycoon</t>
  </si>
  <si>
    <t xml:space="preserve">Simulador de gerencia aberto - sem fim</t>
  </si>
  <si>
    <t xml:space="preserve">Gatekeeper: Infinity</t>
  </si>
  <si>
    <t xml:space="preserve">Nome ja indica jogo infinito</t>
  </si>
  <si>
    <t xml:space="preserve">Ghost in the Shell: First Assault Online</t>
  </si>
  <si>
    <t xml:space="preserve">Golazo! Soccer League</t>
  </si>
  <si>
    <t xml:space="preserve">Esporte online - sem fim</t>
  </si>
  <si>
    <t xml:space="preserve">Gotham City Impostors: Free To Play</t>
  </si>
  <si>
    <t xml:space="preserve">GrandChase</t>
  </si>
  <si>
    <t xml:space="preserve">MMO - sem fim</t>
  </si>
  <si>
    <t xml:space="preserve">Gremlins vs Automatons</t>
  </si>
  <si>
    <t xml:space="preserve">Tower defense - runs infinitas</t>
  </si>
  <si>
    <t xml:space="preserve">Gremlins, Inc.</t>
  </si>
  <si>
    <t xml:space="preserve">Board game online - sem fim</t>
  </si>
  <si>
    <t xml:space="preserve">Guns'N'Zombies</t>
  </si>
  <si>
    <t xml:space="preserve">Horda infinita provavel</t>
  </si>
  <si>
    <t xml:space="preserve">GunZ 2: The Second Duel</t>
  </si>
  <si>
    <t xml:space="preserve">Hand Simulator (+ Survival)</t>
  </si>
  <si>
    <t xml:space="preserve">Sandbox fisico - sem fim</t>
  </si>
  <si>
    <t xml:space="preserve">Hellslave</t>
  </si>
  <si>
    <t xml:space="preserve">Heroes &amp; Generals</t>
  </si>
  <si>
    <t xml:space="preserve">MMO tiro - sem fim</t>
  </si>
  <si>
    <t xml:space="preserve">House Flipper</t>
  </si>
  <si>
    <t xml:space="preserve">Simulador de gerencia aberto - sem fim fixo</t>
  </si>
  <si>
    <t xml:space="preserve">I am weapon: Revival</t>
  </si>
  <si>
    <t xml:space="preserve">Roguelike tiro - runs infinitas</t>
  </si>
  <si>
    <t xml:space="preserve">Icarus</t>
  </si>
  <si>
    <t xml:space="preserve">Sobrevivencia - sem fim fixo</t>
  </si>
  <si>
    <t xml:space="preserve">Incredibox</t>
  </si>
  <si>
    <t xml:space="preserve">Brinquedo musical - sem fim</t>
  </si>
  <si>
    <t xml:space="preserve">Infestation: The New Z</t>
  </si>
  <si>
    <t xml:space="preserve">Sobrevivencia online / PvP - sem fim</t>
  </si>
  <si>
    <t xml:space="preserve">Initial Drift Online</t>
  </si>
  <si>
    <t xml:space="preserve">Corrida online - sem fim</t>
  </si>
  <si>
    <t xml:space="preserve">Ironsight</t>
  </si>
  <si>
    <t xml:space="preserve">Just Move Fall Dungeon Endless Abyss</t>
  </si>
  <si>
    <t xml:space="preserve">Kawaii Deathu Desu</t>
  </si>
  <si>
    <t xml:space="preserve">Bullet hell roguelike - runs infinitas</t>
  </si>
  <si>
    <t xml:space="preserve">Keep Talking and Nobody Explodes</t>
  </si>
  <si>
    <t xml:space="preserve">Repeticao de puzzles - sem progressao com fim</t>
  </si>
  <si>
    <t xml:space="preserve">Killing Floor (+ Mod: Defence Alliance 2)</t>
  </si>
  <si>
    <t xml:space="preserve">Horda co-op - sem fim fixo</t>
  </si>
  <si>
    <t xml:space="preserve">Kingdom Eighties</t>
  </si>
  <si>
    <t xml:space="preserve">Legend of Keepers</t>
  </si>
  <si>
    <t xml:space="preserve">Loadout</t>
  </si>
  <si>
    <t xml:space="preserve">Mage Arena</t>
  </si>
  <si>
    <t xml:space="preserve">PvP - sem fim</t>
  </si>
  <si>
    <t xml:space="preserve">Magicka: Wizard Wars</t>
  </si>
  <si>
    <t xml:space="preserve">MicroVolts Surge</t>
  </si>
  <si>
    <t xml:space="preserve">MIR4</t>
  </si>
  <si>
    <t xml:space="preserve">MISERY (mod STALKER)</t>
  </si>
  <si>
    <t xml:space="preserve">Sobrevivencia sandbox - sem fim</t>
  </si>
  <si>
    <t xml:space="preserve">Moonlighter</t>
  </si>
  <si>
    <t xml:space="preserve">Roguelite de masmorras - runs infinitas</t>
  </si>
  <si>
    <t xml:space="preserve">Move or Die</t>
  </si>
  <si>
    <t xml:space="preserve">Party PvP - sem fim</t>
  </si>
  <si>
    <t xml:space="preserve">Muck</t>
  </si>
  <si>
    <t xml:space="preserve">Sobrevivencia roguelike - runs infinitas</t>
  </si>
  <si>
    <t xml:space="preserve">Necesse</t>
  </si>
  <si>
    <t xml:space="preserve">NineHells</t>
  </si>
  <si>
    <t xml:space="preserve">Paladins (+ Public Test)</t>
  </si>
  <si>
    <t xml:space="preserve">Hero shooter online / PvP - sem fim</t>
  </si>
  <si>
    <t xml:space="preserve">PAYDAY 2</t>
  </si>
  <si>
    <t xml:space="preserve">Assaltos co-op repetiveis - sem fim fixo</t>
  </si>
  <si>
    <t xml:space="preserve">People Playground</t>
  </si>
  <si>
    <t xml:space="preserve">Sandbox - sem fim</t>
  </si>
  <si>
    <t xml:space="preserve">Progressbar95</t>
  </si>
  <si>
    <t xml:space="preserve">Jogo-piada de progresso falso - sem fim real</t>
  </si>
  <si>
    <t xml:space="preserve">Project Playtime</t>
  </si>
  <si>
    <t xml:space="preserve">Terror multiplayer / PvP - sem fim</t>
  </si>
  <si>
    <t xml:space="preserve">Project Winter</t>
  </si>
  <si>
    <t xml:space="preserve">Dedução social online / PvP - sem fim</t>
  </si>
  <si>
    <t xml:space="preserve">Racer 8</t>
  </si>
  <si>
    <t xml:space="preserve">Corrida - sem fim fixo</t>
  </si>
  <si>
    <t xml:space="preserve">REMATCH</t>
  </si>
  <si>
    <t xml:space="preserve">Futebol online - sem fim</t>
  </si>
  <si>
    <t xml:space="preserve">Rift of the NecroDancer</t>
  </si>
  <si>
    <t xml:space="preserve">Roguelike ritmico - runs infinitas</t>
  </si>
  <si>
    <t xml:space="preserve">RISK: Global Domination</t>
  </si>
  <si>
    <t xml:space="preserve">Board game PvP - sem fim</t>
  </si>
  <si>
    <t xml:space="preserve">Robocraft</t>
  </si>
  <si>
    <t xml:space="preserve">Sandbox de construcao PvP - sem fim</t>
  </si>
  <si>
    <t xml:space="preserve">ROUNDS</t>
  </si>
  <si>
    <t xml:space="preserve">SCP: Containment Breach Multiplayer</t>
  </si>
  <si>
    <t xml:space="preserve">skate.</t>
  </si>
  <si>
    <t xml:space="preserve">Esporte mundo aberto - sem fim fixo</t>
  </si>
  <si>
    <t xml:space="preserve">SMITE</t>
  </si>
  <si>
    <t xml:space="preserve">Snake Eyes Dungeon</t>
  </si>
  <si>
    <t xml:space="preserve">SpeedRunners</t>
  </si>
  <si>
    <t xml:space="preserve">Starvester</t>
  </si>
  <si>
    <t xml:space="preserve">Sobrevivencia - sem fim provavel</t>
  </si>
  <si>
    <t xml:space="preserve">Stickman Killing Zombie</t>
  </si>
  <si>
    <t xml:space="preserve">The Mighty Quest For Epic Loot</t>
  </si>
  <si>
    <t xml:space="preserve">MMO extinto - sem fim</t>
  </si>
  <si>
    <t xml:space="preserve">Tom Clancy's Rainbow Six Siege - Test Server</t>
  </si>
  <si>
    <t xml:space="preserve">Townscaper</t>
  </si>
  <si>
    <t xml:space="preserve">Brinquedo sandbox - sem fim</t>
  </si>
  <si>
    <t xml:space="preserve">Tricky Towers</t>
  </si>
  <si>
    <t xml:space="preserve">Ultimate Fishing Simulator</t>
  </si>
  <si>
    <t xml:space="preserve">Ultra Street Fighter IV</t>
  </si>
  <si>
    <t xml:space="preserve">Unturned</t>
  </si>
  <si>
    <t xml:space="preserve">Warhammer 40,000: Gladius - Relics of War</t>
  </si>
  <si>
    <t xml:space="preserve">Estrategia 4X - sem fim fixo</t>
  </si>
  <si>
    <t xml:space="preserve">Warhammer: Vermintide 2</t>
  </si>
  <si>
    <t xml:space="preserve">We Need To Go Deeper</t>
  </si>
  <si>
    <t xml:space="preserve">Roguelite co-op - runs infinitas</t>
  </si>
  <si>
    <t xml:space="preserve">Wild Terra 2: New Lands</t>
  </si>
  <si>
    <t xml:space="preserve">MMO de sobrevivencia - sem fim</t>
  </si>
  <si>
    <t xml:space="preserve">World Crafter TD</t>
  </si>
  <si>
    <t xml:space="preserve">Tower defense sandbox - sem fim</t>
  </si>
  <si>
    <t xml:space="preserve">Wreckfest (+ Throw-A-Santa)</t>
  </si>
  <si>
    <t xml:space="preserve">Yet Another Zombie Defense HD</t>
  </si>
  <si>
    <t xml:space="preserve">Tower defense de horda - sem fim</t>
  </si>
  <si>
    <t xml:space="preserve">Zomborg</t>
  </si>
  <si>
    <t xml:space="preserve">Roguelike - runs infinitas provavel</t>
  </si>
  <si>
    <t xml:space="preserve">Titulos que eu nao consegui classificar com seguranca</t>
  </si>
  <si>
    <t xml:space="preserve">Sao jogos obscuros/indies que nao reconheco o suficiente para dizer se tem fim definido ou sao infinitos. Nao entraram no Catalogo nem em Fora do escopo para nao arriscar um chute errado. Classifique manualmente e mova para a aba certa.</t>
  </si>
  <si>
    <t xml:space="preserve">Sua classificacao (preencher)</t>
  </si>
  <si>
    <t xml:space="preserve">171</t>
  </si>
  <si>
    <t xml:space="preserve">Aeonic</t>
  </si>
  <si>
    <t xml:space="preserve">8AM</t>
  </si>
  <si>
    <t xml:space="preserve">Billies Wheelie</t>
  </si>
  <si>
    <t xml:space="preserve">Book of Spells 2</t>
  </si>
  <si>
    <t xml:space="preserve">Bunny Guys!</t>
  </si>
  <si>
    <t xml:space="preserve">Bunny Hurling</t>
  </si>
  <si>
    <t xml:space="preserve">Catch Me!</t>
  </si>
  <si>
    <t xml:space="preserve">Chip</t>
  </si>
  <si>
    <t xml:space="preserve">Coralina</t>
  </si>
  <si>
    <t xml:space="preserve">Dead Bits</t>
  </si>
  <si>
    <t xml:space="preserve">DeadPoly</t>
  </si>
  <si>
    <t xml:space="preserve">Depths Of Horror: Mushroom Day</t>
  </si>
  <si>
    <t xml:space="preserve">DEVOUR</t>
  </si>
  <si>
    <t xml:space="preserve">Dizzel</t>
  </si>
  <si>
    <t xml:space="preserve">Gods of Sand</t>
  </si>
  <si>
    <t xml:space="preserve">Grimm</t>
  </si>
  <si>
    <t xml:space="preserve">Haxor</t>
  </si>
  <si>
    <t xml:space="preserve">Idols of Ash</t>
  </si>
  <si>
    <t xml:space="preserve">IQ Under Construction</t>
  </si>
  <si>
    <t xml:space="preserve">Ithya: Magic Studies</t>
  </si>
  <si>
    <t xml:space="preserve">Just Move: Clean City Messy Battle</t>
  </si>
  <si>
    <t xml:space="preserve">Kill The Crows</t>
  </si>
  <si>
    <t xml:space="preserve">LivingBattle</t>
  </si>
  <si>
    <t xml:space="preserve">LivingForest</t>
  </si>
  <si>
    <t xml:space="preserve">Lost in Anomaly</t>
  </si>
  <si>
    <t xml:space="preserve">Math in Space</t>
  </si>
  <si>
    <t xml:space="preserve">MECCHA CHAMELEON</t>
  </si>
  <si>
    <t xml:space="preserve">Metamorfose S</t>
  </si>
  <si>
    <t xml:space="preserve">Moonrise Fall</t>
  </si>
  <si>
    <t xml:space="preserve">My dream setup</t>
  </si>
  <si>
    <t xml:space="preserve">MyVoiceZoo</t>
  </si>
  <si>
    <t xml:space="preserve">No Time to Relax</t>
  </si>
  <si>
    <t xml:space="preserve">Nocturnal</t>
  </si>
  <si>
    <t xml:space="preserve">Olorun: Theocracy</t>
  </si>
  <si>
    <t xml:space="preserve">One Gun Guy</t>
  </si>
  <si>
    <t xml:space="preserve">Overcome Your Fears - Caretaker</t>
  </si>
  <si>
    <t xml:space="preserve">Party Club</t>
  </si>
  <si>
    <t xml:space="preserve">PRAGMATA</t>
  </si>
  <si>
    <t xml:space="preserve">Rat Quest</t>
  </si>
  <si>
    <t xml:space="preserve">Road Rage</t>
  </si>
  <si>
    <t xml:space="preserve">The Culling Of The Cows</t>
  </si>
  <si>
    <t xml:space="preserve">The Mythical City 2/4</t>
  </si>
  <si>
    <t xml:space="preserve">Toy Tinker Simulator</t>
  </si>
  <si>
    <t xml:space="preserve">Uma Viagem Interessante de Monsieur PAF</t>
  </si>
  <si>
    <t xml:space="preserve">Wednesdays</t>
  </si>
  <si>
    <t xml:space="preserve">What the Fog</t>
  </si>
  <si>
    <t xml:space="preserve">WHAT THE PAK?!</t>
  </si>
  <si>
    <t xml:space="preserve">Winexy</t>
  </si>
  <si>
    <t xml:space="preserve">Your Only Move Is HUSTLE</t>
  </si>
  <si>
    <t xml:space="preserve">Zueirama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</si>
</sst>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 t="s">
        <v>27</v>
      </c>
    </row>
    <row r="34" customFormat="false" ht="15" hidden="false" customHeight="false" outlineLevel="0" collapsed="false">
      <c r="A34" s="2" t="s">
        <v>28</v>
      </c>
    </row>
    <row r="35" customFormat="false" ht="15" hidden="false" customHeight="false" outlineLevel="0" collapsed="false">
      <c r="A35" s="2" t="s">
        <v>29</v>
      </c>
    </row>
    <row r="36" customFormat="false" ht="15" hidden="false" customHeight="false" outlineLevel="0" collapsed="false">
      <c r="A36" s="2" t="s">
        <v>30</v>
      </c>
    </row>
    <row r="37" customFormat="false" ht="15" hidden="false" customHeight="false" outlineLevel="0" collapsed="false">
      <c r="A37" s="2" t="s">
        <v>31</v>
      </c>
    </row>
    <row r="38" customFormat="false" ht="15" hidden="false" customHeight="false" outlineLevel="0" collapsed="false">
      <c r="A38" s="2" t="s">
        <v>32</v>
      </c>
    </row>
    <row r="39" customFormat="false" ht="15" hidden="false" customHeight="false" outlineLevel="0" collapsed="false">
      <c r="A39" s="2" t="s">
        <v>33</v>
      </c>
    </row>
    <row r="40" customFormat="false" ht="15" hidden="false" customHeight="false" outlineLevel="0" collapsed="false">
      <c r="A40" s="2"/>
    </row>
    <row r="41" customFormat="false" ht="15" hidden="false" customHeight="false" outlineLevel="0" collapsed="false">
      <c r="A41" s="3" t="s">
        <v>34</v>
      </c>
    </row>
    <row r="42" customFormat="false" ht="15" hidden="false" customHeight="false" outlineLevel="0" collapsed="false">
      <c r="A42" s="2" t="s">
        <v>35</v>
      </c>
    </row>
    <row r="43" customFormat="false" ht="15" hidden="false" customHeight="false" outlineLevel="0" collapsed="false">
      <c r="A43" s="2" t="s">
        <v>36</v>
      </c>
    </row>
    <row r="44" customFormat="false" ht="15" hidden="false" customHeight="false" outlineLevel="0" collapsed="false">
      <c r="A44" s="2"/>
    </row>
    <row r="45" customFormat="false" ht="15" hidden="false" customHeight="false" outlineLevel="0" collapsed="false">
      <c r="A45" s="3" t="s">
        <v>37</v>
      </c>
    </row>
    <row r="46" customFormat="false" ht="15" hidden="false" customHeight="false" outlineLevel="0" collapsed="false">
      <c r="A46" s="2" t="s">
        <v>38</v>
      </c>
    </row>
    <row r="47" customFormat="false" ht="15" hidden="false" customHeight="false" outlineLevel="0" collapsed="false">
      <c r="A47" s="2" t="s">
        <v>39</v>
      </c>
    </row>
    <row r="48" customFormat="false" ht="15" hidden="false" customHeight="false" outlineLevel="0" collapsed="false">
      <c r="A48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26"/>
    <col collapsed="false" customWidth="true" hidden="false" outlineLevel="0" max="6" min="6" style="0" width="44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4" t="s">
        <v>42</v>
      </c>
    </row>
    <row r="4" customFormat="false" ht="26.85" hidden="false" customHeight="false" outlineLevel="0" collapsed="false">
      <c r="A4" s="5" t="s">
        <v>43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48</v>
      </c>
      <c r="G4" s="5" t="s">
        <v>49</v>
      </c>
      <c r="H4" s="5" t="s">
        <v>50</v>
      </c>
      <c r="I4" s="5" t="s">
        <v>51</v>
      </c>
    </row>
    <row r="5" customFormat="false" ht="15" hidden="false" customHeight="false" outlineLevel="0" collapsed="false">
      <c r="A5" s="6" t="s">
        <v>52</v>
      </c>
      <c r="B5" s="7" t="n">
        <v>1</v>
      </c>
      <c r="C5" s="7" t="s">
        <v>53</v>
      </c>
      <c r="D5" s="7" t="n">
        <v>3</v>
      </c>
      <c r="E5" s="7" t="s">
        <v>54</v>
      </c>
      <c r="F5" s="7" t="s">
        <v>55</v>
      </c>
      <c r="G5" s="8" t="s">
        <v>56</v>
      </c>
      <c r="H5" s="8" t="s">
        <v>57</v>
      </c>
      <c r="I5" s="8" t="n">
        <v>9</v>
      </c>
    </row>
    <row r="6" customFormat="false" ht="15" hidden="false" customHeight="false" outlineLevel="0" collapsed="false">
      <c r="A6" s="9" t="s">
        <v>58</v>
      </c>
      <c r="B6" s="9" t="n">
        <v>1</v>
      </c>
      <c r="C6" s="9" t="s">
        <v>53</v>
      </c>
      <c r="D6" s="9" t="n">
        <v>8</v>
      </c>
      <c r="E6" s="9" t="s">
        <v>59</v>
      </c>
      <c r="F6" s="10" t="s">
        <v>60</v>
      </c>
      <c r="G6" s="11" t="s">
        <v>61</v>
      </c>
      <c r="H6" s="11"/>
      <c r="I6" s="11"/>
    </row>
    <row r="7" customFormat="false" ht="15" hidden="false" customHeight="false" outlineLevel="0" collapsed="false">
      <c r="A7" s="9" t="s">
        <v>62</v>
      </c>
      <c r="B7" s="9" t="n">
        <v>1</v>
      </c>
      <c r="C7" s="9" t="s">
        <v>53</v>
      </c>
      <c r="D7" s="9" t="n">
        <v>5</v>
      </c>
      <c r="E7" s="9" t="s">
        <v>63</v>
      </c>
      <c r="F7" s="10" t="s">
        <v>64</v>
      </c>
      <c r="G7" s="11" t="s">
        <v>61</v>
      </c>
      <c r="H7" s="11"/>
      <c r="I7" s="11"/>
    </row>
    <row r="8" customFormat="false" ht="15" hidden="false" customHeight="false" outlineLevel="0" collapsed="false">
      <c r="A8" s="9" t="s">
        <v>65</v>
      </c>
      <c r="B8" s="9" t="n">
        <v>1</v>
      </c>
      <c r="C8" s="9" t="s">
        <v>53</v>
      </c>
      <c r="D8" s="9" t="n">
        <v>5</v>
      </c>
      <c r="E8" s="9" t="s">
        <v>66</v>
      </c>
      <c r="F8" s="10" t="s">
        <v>67</v>
      </c>
      <c r="G8" s="11" t="s">
        <v>61</v>
      </c>
      <c r="H8" s="11"/>
      <c r="I8" s="11"/>
    </row>
    <row r="9" customFormat="false" ht="15" hidden="false" customHeight="false" outlineLevel="0" collapsed="false">
      <c r="A9" s="9" t="s">
        <v>68</v>
      </c>
      <c r="B9" s="9" t="n">
        <v>1</v>
      </c>
      <c r="C9" s="9" t="s">
        <v>53</v>
      </c>
      <c r="D9" s="9" t="n">
        <v>5</v>
      </c>
      <c r="E9" s="9" t="s">
        <v>69</v>
      </c>
      <c r="F9" s="10" t="s">
        <v>70</v>
      </c>
      <c r="G9" s="11" t="s">
        <v>61</v>
      </c>
      <c r="H9" s="11"/>
      <c r="I9" s="11"/>
    </row>
    <row r="10" customFormat="false" ht="15" hidden="false" customHeight="false" outlineLevel="0" collapsed="false">
      <c r="A10" s="9" t="s">
        <v>71</v>
      </c>
      <c r="B10" s="9" t="n">
        <v>1</v>
      </c>
      <c r="C10" s="9" t="s">
        <v>53</v>
      </c>
      <c r="D10" s="9" t="n">
        <v>5</v>
      </c>
      <c r="E10" s="9" t="s">
        <v>72</v>
      </c>
      <c r="F10" s="10" t="s">
        <v>67</v>
      </c>
      <c r="G10" s="11" t="s">
        <v>61</v>
      </c>
      <c r="H10" s="11"/>
      <c r="I10" s="11"/>
    </row>
    <row r="11" customFormat="false" ht="15" hidden="false" customHeight="false" outlineLevel="0" collapsed="false">
      <c r="A11" s="9" t="s">
        <v>73</v>
      </c>
      <c r="B11" s="9" t="n">
        <v>1</v>
      </c>
      <c r="C11" s="9" t="s">
        <v>53</v>
      </c>
      <c r="D11" s="9" t="n">
        <v>5</v>
      </c>
      <c r="E11" s="9" t="s">
        <v>74</v>
      </c>
      <c r="F11" s="10" t="s">
        <v>75</v>
      </c>
      <c r="G11" s="11" t="s">
        <v>61</v>
      </c>
      <c r="H11" s="11"/>
      <c r="I11" s="11"/>
    </row>
    <row r="12" customFormat="false" ht="15" hidden="false" customHeight="false" outlineLevel="0" collapsed="false">
      <c r="A12" s="9" t="s">
        <v>76</v>
      </c>
      <c r="B12" s="9" t="n">
        <v>1</v>
      </c>
      <c r="C12" s="9" t="s">
        <v>53</v>
      </c>
      <c r="D12" s="9" t="n">
        <v>5</v>
      </c>
      <c r="E12" s="9" t="s">
        <v>77</v>
      </c>
      <c r="F12" s="10" t="s">
        <v>78</v>
      </c>
      <c r="G12" s="11" t="s">
        <v>61</v>
      </c>
      <c r="H12" s="11"/>
      <c r="I12" s="11"/>
    </row>
    <row r="13" customFormat="false" ht="15" hidden="false" customHeight="false" outlineLevel="0" collapsed="false">
      <c r="A13" s="9" t="s">
        <v>79</v>
      </c>
      <c r="B13" s="9" t="n">
        <v>1</v>
      </c>
      <c r="C13" s="9" t="s">
        <v>53</v>
      </c>
      <c r="D13" s="9" t="n">
        <v>5</v>
      </c>
      <c r="E13" s="9" t="s">
        <v>80</v>
      </c>
      <c r="F13" s="10" t="s">
        <v>81</v>
      </c>
      <c r="G13" s="11" t="s">
        <v>61</v>
      </c>
      <c r="H13" s="11"/>
      <c r="I13" s="11"/>
    </row>
    <row r="14" customFormat="false" ht="15" hidden="false" customHeight="false" outlineLevel="0" collapsed="false">
      <c r="A14" s="9" t="s">
        <v>82</v>
      </c>
      <c r="B14" s="9" t="n">
        <v>1</v>
      </c>
      <c r="C14" s="9" t="s">
        <v>53</v>
      </c>
      <c r="D14" s="9" t="n">
        <v>5</v>
      </c>
      <c r="E14" s="9" t="s">
        <v>83</v>
      </c>
      <c r="F14" s="10" t="s">
        <v>84</v>
      </c>
      <c r="G14" s="11" t="s">
        <v>61</v>
      </c>
      <c r="H14" s="11"/>
      <c r="I14" s="11"/>
    </row>
    <row r="15" customFormat="false" ht="15" hidden="false" customHeight="false" outlineLevel="0" collapsed="false">
      <c r="A15" s="9" t="s">
        <v>85</v>
      </c>
      <c r="B15" s="9" t="n">
        <v>1</v>
      </c>
      <c r="C15" s="9" t="s">
        <v>53</v>
      </c>
      <c r="D15" s="9" t="n">
        <v>4</v>
      </c>
      <c r="E15" s="9" t="s">
        <v>86</v>
      </c>
      <c r="F15" s="10" t="s">
        <v>87</v>
      </c>
      <c r="G15" s="11" t="s">
        <v>61</v>
      </c>
      <c r="H15" s="11"/>
      <c r="I15" s="11"/>
    </row>
    <row r="16" customFormat="false" ht="15" hidden="false" customHeight="false" outlineLevel="0" collapsed="false">
      <c r="A16" s="9" t="s">
        <v>88</v>
      </c>
      <c r="B16" s="9" t="n">
        <v>1</v>
      </c>
      <c r="C16" s="9" t="s">
        <v>53</v>
      </c>
      <c r="D16" s="9" t="n">
        <v>4</v>
      </c>
      <c r="E16" s="9" t="s">
        <v>63</v>
      </c>
      <c r="F16" s="10" t="s">
        <v>89</v>
      </c>
      <c r="G16" s="11" t="s">
        <v>61</v>
      </c>
      <c r="H16" s="11"/>
      <c r="I16" s="11"/>
    </row>
    <row r="17" customFormat="false" ht="15" hidden="false" customHeight="false" outlineLevel="0" collapsed="false">
      <c r="A17" s="9" t="s">
        <v>90</v>
      </c>
      <c r="B17" s="9" t="n">
        <v>1</v>
      </c>
      <c r="C17" s="9" t="s">
        <v>53</v>
      </c>
      <c r="D17" s="9" t="n">
        <v>4</v>
      </c>
      <c r="E17" s="9" t="s">
        <v>91</v>
      </c>
      <c r="F17" s="10" t="s">
        <v>60</v>
      </c>
      <c r="G17" s="11" t="s">
        <v>61</v>
      </c>
      <c r="H17" s="11"/>
      <c r="I17" s="11"/>
    </row>
    <row r="18" customFormat="false" ht="15" hidden="false" customHeight="false" outlineLevel="0" collapsed="false">
      <c r="A18" s="9" t="s">
        <v>92</v>
      </c>
      <c r="B18" s="9" t="n">
        <v>1</v>
      </c>
      <c r="C18" s="9" t="s">
        <v>53</v>
      </c>
      <c r="D18" s="9" t="n">
        <v>4</v>
      </c>
      <c r="E18" s="9" t="s">
        <v>74</v>
      </c>
      <c r="F18" s="10" t="s">
        <v>67</v>
      </c>
      <c r="G18" s="11" t="s">
        <v>61</v>
      </c>
      <c r="H18" s="11"/>
      <c r="I18" s="11"/>
    </row>
    <row r="19" customFormat="false" ht="15" hidden="false" customHeight="false" outlineLevel="0" collapsed="false">
      <c r="A19" s="9" t="s">
        <v>93</v>
      </c>
      <c r="B19" s="9" t="n">
        <v>1</v>
      </c>
      <c r="C19" s="9" t="s">
        <v>53</v>
      </c>
      <c r="D19" s="9" t="n">
        <v>4</v>
      </c>
      <c r="E19" s="9" t="s">
        <v>94</v>
      </c>
      <c r="F19" s="10" t="s">
        <v>95</v>
      </c>
      <c r="G19" s="11" t="s">
        <v>61</v>
      </c>
      <c r="H19" s="11"/>
      <c r="I19" s="11"/>
    </row>
    <row r="20" customFormat="false" ht="15" hidden="false" customHeight="false" outlineLevel="0" collapsed="false">
      <c r="A20" s="9" t="s">
        <v>96</v>
      </c>
      <c r="B20" s="9" t="n">
        <v>1</v>
      </c>
      <c r="C20" s="9" t="s">
        <v>53</v>
      </c>
      <c r="D20" s="9" t="n">
        <v>4</v>
      </c>
      <c r="E20" s="9" t="s">
        <v>91</v>
      </c>
      <c r="F20" s="10" t="s">
        <v>67</v>
      </c>
      <c r="G20" s="11" t="s">
        <v>61</v>
      </c>
      <c r="H20" s="11"/>
      <c r="I20" s="11"/>
    </row>
    <row r="21" customFormat="false" ht="15" hidden="false" customHeight="false" outlineLevel="0" collapsed="false">
      <c r="A21" s="9" t="s">
        <v>97</v>
      </c>
      <c r="B21" s="9" t="n">
        <v>1</v>
      </c>
      <c r="C21" s="9" t="s">
        <v>53</v>
      </c>
      <c r="D21" s="9" t="n">
        <v>4</v>
      </c>
      <c r="E21" s="9" t="s">
        <v>98</v>
      </c>
      <c r="F21" s="10" t="s">
        <v>99</v>
      </c>
      <c r="G21" s="11" t="s">
        <v>61</v>
      </c>
      <c r="H21" s="11"/>
      <c r="I21" s="11"/>
    </row>
    <row r="22" customFormat="false" ht="15" hidden="false" customHeight="false" outlineLevel="0" collapsed="false">
      <c r="A22" s="9" t="s">
        <v>100</v>
      </c>
      <c r="B22" s="9" t="n">
        <v>1</v>
      </c>
      <c r="C22" s="9" t="s">
        <v>53</v>
      </c>
      <c r="D22" s="9" t="n">
        <v>4</v>
      </c>
      <c r="E22" s="9" t="s">
        <v>101</v>
      </c>
      <c r="F22" s="10" t="s">
        <v>102</v>
      </c>
      <c r="G22" s="11" t="s">
        <v>61</v>
      </c>
      <c r="H22" s="11"/>
      <c r="I22" s="11"/>
    </row>
    <row r="23" customFormat="false" ht="15" hidden="false" customHeight="false" outlineLevel="0" collapsed="false">
      <c r="A23" s="9" t="s">
        <v>103</v>
      </c>
      <c r="B23" s="9" t="n">
        <v>1</v>
      </c>
      <c r="C23" s="9" t="s">
        <v>53</v>
      </c>
      <c r="D23" s="9" t="n">
        <v>4</v>
      </c>
      <c r="E23" s="9" t="s">
        <v>66</v>
      </c>
      <c r="F23" s="10" t="s">
        <v>104</v>
      </c>
      <c r="G23" s="11" t="s">
        <v>61</v>
      </c>
      <c r="H23" s="11"/>
      <c r="I23" s="11"/>
    </row>
    <row r="24" customFormat="false" ht="15" hidden="false" customHeight="false" outlineLevel="0" collapsed="false">
      <c r="A24" s="9" t="s">
        <v>105</v>
      </c>
      <c r="B24" s="9" t="n">
        <v>1</v>
      </c>
      <c r="C24" s="9" t="s">
        <v>53</v>
      </c>
      <c r="D24" s="9" t="n">
        <v>4</v>
      </c>
      <c r="E24" s="9" t="s">
        <v>106</v>
      </c>
      <c r="F24" s="10" t="s">
        <v>107</v>
      </c>
      <c r="G24" s="11" t="s">
        <v>61</v>
      </c>
      <c r="H24" s="11"/>
      <c r="I24" s="11"/>
    </row>
    <row r="25" customFormat="false" ht="15" hidden="false" customHeight="false" outlineLevel="0" collapsed="false">
      <c r="A25" s="9" t="s">
        <v>108</v>
      </c>
      <c r="B25" s="9" t="n">
        <v>1</v>
      </c>
      <c r="C25" s="9" t="s">
        <v>53</v>
      </c>
      <c r="D25" s="9" t="n">
        <v>4</v>
      </c>
      <c r="E25" s="9" t="s">
        <v>54</v>
      </c>
      <c r="F25" s="10" t="s">
        <v>109</v>
      </c>
      <c r="G25" s="11" t="s">
        <v>61</v>
      </c>
      <c r="H25" s="11"/>
      <c r="I25" s="11"/>
    </row>
    <row r="26" customFormat="false" ht="15" hidden="false" customHeight="false" outlineLevel="0" collapsed="false">
      <c r="A26" s="9" t="s">
        <v>110</v>
      </c>
      <c r="B26" s="9" t="n">
        <v>1</v>
      </c>
      <c r="C26" s="9" t="s">
        <v>53</v>
      </c>
      <c r="D26" s="9" t="n">
        <v>4</v>
      </c>
      <c r="E26" s="9" t="s">
        <v>54</v>
      </c>
      <c r="F26" s="10" t="s">
        <v>109</v>
      </c>
      <c r="G26" s="11" t="s">
        <v>61</v>
      </c>
      <c r="H26" s="11"/>
      <c r="I26" s="11"/>
    </row>
    <row r="27" customFormat="false" ht="15" hidden="false" customHeight="false" outlineLevel="0" collapsed="false">
      <c r="A27" s="9" t="s">
        <v>111</v>
      </c>
      <c r="B27" s="9" t="n">
        <v>1</v>
      </c>
      <c r="C27" s="9" t="s">
        <v>53</v>
      </c>
      <c r="D27" s="9" t="n">
        <v>4</v>
      </c>
      <c r="E27" s="9" t="s">
        <v>101</v>
      </c>
      <c r="F27" s="10" t="s">
        <v>112</v>
      </c>
      <c r="G27" s="11" t="s">
        <v>61</v>
      </c>
      <c r="H27" s="11"/>
      <c r="I27" s="11"/>
    </row>
    <row r="28" customFormat="false" ht="15" hidden="false" customHeight="false" outlineLevel="0" collapsed="false">
      <c r="A28" s="9" t="s">
        <v>113</v>
      </c>
      <c r="B28" s="9" t="n">
        <v>1</v>
      </c>
      <c r="C28" s="9" t="s">
        <v>53</v>
      </c>
      <c r="D28" s="9" t="n">
        <v>3</v>
      </c>
      <c r="E28" s="9" t="s">
        <v>101</v>
      </c>
      <c r="F28" s="10" t="s">
        <v>114</v>
      </c>
      <c r="G28" s="11" t="s">
        <v>61</v>
      </c>
      <c r="H28" s="11"/>
      <c r="I28" s="11"/>
    </row>
    <row r="29" customFormat="false" ht="15" hidden="false" customHeight="false" outlineLevel="0" collapsed="false">
      <c r="A29" s="9" t="s">
        <v>115</v>
      </c>
      <c r="B29" s="9" t="n">
        <v>1</v>
      </c>
      <c r="C29" s="9" t="s">
        <v>53</v>
      </c>
      <c r="D29" s="9" t="n">
        <v>3</v>
      </c>
      <c r="E29" s="9" t="s">
        <v>116</v>
      </c>
      <c r="F29" s="10" t="s">
        <v>117</v>
      </c>
      <c r="G29" s="11" t="s">
        <v>61</v>
      </c>
      <c r="H29" s="11"/>
      <c r="I29" s="11"/>
    </row>
    <row r="30" customFormat="false" ht="15" hidden="false" customHeight="false" outlineLevel="0" collapsed="false">
      <c r="A30" s="9" t="s">
        <v>118</v>
      </c>
      <c r="B30" s="9" t="n">
        <v>1</v>
      </c>
      <c r="C30" s="9" t="s">
        <v>53</v>
      </c>
      <c r="D30" s="9" t="n">
        <v>3</v>
      </c>
      <c r="E30" s="9" t="s">
        <v>54</v>
      </c>
      <c r="F30" s="10" t="s">
        <v>119</v>
      </c>
      <c r="G30" s="11" t="s">
        <v>61</v>
      </c>
      <c r="H30" s="11"/>
      <c r="I30" s="11"/>
    </row>
    <row r="31" customFormat="false" ht="15" hidden="false" customHeight="false" outlineLevel="0" collapsed="false">
      <c r="A31" s="9" t="s">
        <v>120</v>
      </c>
      <c r="B31" s="9" t="n">
        <v>1</v>
      </c>
      <c r="C31" s="9" t="s">
        <v>53</v>
      </c>
      <c r="D31" s="9" t="n">
        <v>3</v>
      </c>
      <c r="E31" s="9" t="s">
        <v>121</v>
      </c>
      <c r="F31" s="10" t="s">
        <v>122</v>
      </c>
      <c r="G31" s="11" t="s">
        <v>61</v>
      </c>
      <c r="H31" s="11"/>
      <c r="I31" s="11"/>
    </row>
    <row r="32" customFormat="false" ht="15" hidden="false" customHeight="false" outlineLevel="0" collapsed="false">
      <c r="A32" s="9" t="s">
        <v>123</v>
      </c>
      <c r="B32" s="9" t="n">
        <v>1</v>
      </c>
      <c r="C32" s="9" t="s">
        <v>53</v>
      </c>
      <c r="D32" s="9" t="n">
        <v>3</v>
      </c>
      <c r="E32" s="9" t="s">
        <v>98</v>
      </c>
      <c r="F32" s="10" t="s">
        <v>55</v>
      </c>
      <c r="G32" s="11" t="s">
        <v>61</v>
      </c>
      <c r="H32" s="11"/>
      <c r="I32" s="11"/>
    </row>
    <row r="33" customFormat="false" ht="15" hidden="false" customHeight="false" outlineLevel="0" collapsed="false">
      <c r="A33" s="9" t="s">
        <v>124</v>
      </c>
      <c r="B33" s="9" t="n">
        <v>1</v>
      </c>
      <c r="C33" s="9" t="s">
        <v>53</v>
      </c>
      <c r="D33" s="9" t="n">
        <v>2</v>
      </c>
      <c r="E33" s="9" t="s">
        <v>101</v>
      </c>
      <c r="F33" s="10" t="s">
        <v>125</v>
      </c>
      <c r="G33" s="11" t="s">
        <v>61</v>
      </c>
      <c r="H33" s="11"/>
      <c r="I33" s="11"/>
    </row>
    <row r="34" customFormat="false" ht="15" hidden="false" customHeight="false" outlineLevel="0" collapsed="false">
      <c r="A34" s="9" t="s">
        <v>126</v>
      </c>
      <c r="B34" s="9" t="n">
        <v>1</v>
      </c>
      <c r="C34" s="9" t="s">
        <v>53</v>
      </c>
      <c r="D34" s="9" t="n">
        <v>2</v>
      </c>
      <c r="E34" s="9" t="s">
        <v>74</v>
      </c>
      <c r="F34" s="10" t="s">
        <v>127</v>
      </c>
      <c r="G34" s="11" t="s">
        <v>61</v>
      </c>
      <c r="H34" s="11"/>
      <c r="I34" s="11"/>
    </row>
    <row r="35" customFormat="false" ht="15" hidden="false" customHeight="false" outlineLevel="0" collapsed="false">
      <c r="A35" s="9" t="s">
        <v>128</v>
      </c>
      <c r="B35" s="9" t="n">
        <v>1</v>
      </c>
      <c r="C35" s="9" t="s">
        <v>53</v>
      </c>
      <c r="D35" s="9" t="n">
        <v>2</v>
      </c>
      <c r="E35" s="9" t="s">
        <v>98</v>
      </c>
      <c r="F35" s="10" t="s">
        <v>129</v>
      </c>
      <c r="G35" s="11" t="s">
        <v>61</v>
      </c>
      <c r="H35" s="11"/>
      <c r="I35" s="11"/>
    </row>
    <row r="36" customFormat="false" ht="15" hidden="false" customHeight="false" outlineLevel="0" collapsed="false">
      <c r="A36" s="9" t="s">
        <v>130</v>
      </c>
      <c r="B36" s="9" t="n">
        <v>1</v>
      </c>
      <c r="C36" s="9" t="s">
        <v>53</v>
      </c>
      <c r="D36" s="9" t="n">
        <v>2</v>
      </c>
      <c r="E36" s="9" t="s">
        <v>98</v>
      </c>
      <c r="F36" s="10" t="s">
        <v>131</v>
      </c>
      <c r="G36" s="11" t="s">
        <v>61</v>
      </c>
      <c r="H36" s="11"/>
      <c r="I36" s="11"/>
    </row>
    <row r="37" customFormat="false" ht="15" hidden="false" customHeight="false" outlineLevel="0" collapsed="false">
      <c r="A37" s="9" t="s">
        <v>132</v>
      </c>
      <c r="B37" s="9" t="n">
        <v>1</v>
      </c>
      <c r="C37" s="9" t="s">
        <v>53</v>
      </c>
      <c r="D37" s="9" t="n">
        <v>2</v>
      </c>
      <c r="E37" s="9" t="s">
        <v>133</v>
      </c>
      <c r="F37" s="10" t="s">
        <v>134</v>
      </c>
      <c r="G37" s="11" t="s">
        <v>61</v>
      </c>
      <c r="H37" s="11"/>
      <c r="I37" s="11"/>
    </row>
    <row r="38" customFormat="false" ht="15" hidden="false" customHeight="false" outlineLevel="0" collapsed="false">
      <c r="A38" s="9" t="s">
        <v>135</v>
      </c>
      <c r="B38" s="9" t="n">
        <v>1</v>
      </c>
      <c r="C38" s="9" t="s">
        <v>53</v>
      </c>
      <c r="D38" s="9" t="n">
        <v>1</v>
      </c>
      <c r="E38" s="9" t="s">
        <v>136</v>
      </c>
      <c r="F38" s="10" t="s">
        <v>137</v>
      </c>
      <c r="G38" s="11" t="s">
        <v>61</v>
      </c>
      <c r="H38" s="11"/>
      <c r="I38" s="11"/>
    </row>
    <row r="39" customFormat="false" ht="15" hidden="false" customHeight="false" outlineLevel="0" collapsed="false">
      <c r="A39" s="9" t="s">
        <v>138</v>
      </c>
      <c r="B39" s="9" t="n">
        <v>2</v>
      </c>
      <c r="C39" s="9" t="s">
        <v>139</v>
      </c>
      <c r="D39" s="9" t="n">
        <v>15</v>
      </c>
      <c r="E39" s="9" t="s">
        <v>140</v>
      </c>
      <c r="F39" s="10" t="s">
        <v>141</v>
      </c>
      <c r="G39" s="11" t="s">
        <v>61</v>
      </c>
      <c r="H39" s="11"/>
      <c r="I39" s="11"/>
    </row>
    <row r="40" customFormat="false" ht="15" hidden="false" customHeight="false" outlineLevel="0" collapsed="false">
      <c r="A40" s="9" t="s">
        <v>142</v>
      </c>
      <c r="B40" s="9" t="n">
        <v>2</v>
      </c>
      <c r="C40" s="9" t="s">
        <v>139</v>
      </c>
      <c r="D40" s="9" t="n">
        <v>12</v>
      </c>
      <c r="E40" s="9" t="s">
        <v>143</v>
      </c>
      <c r="F40" s="10" t="s">
        <v>144</v>
      </c>
      <c r="G40" s="11" t="s">
        <v>61</v>
      </c>
      <c r="H40" s="11"/>
      <c r="I40" s="11"/>
    </row>
    <row r="41" customFormat="false" ht="15" hidden="false" customHeight="false" outlineLevel="0" collapsed="false">
      <c r="A41" s="9" t="s">
        <v>145</v>
      </c>
      <c r="B41" s="9" t="n">
        <v>2</v>
      </c>
      <c r="C41" s="9" t="s">
        <v>139</v>
      </c>
      <c r="D41" s="9" t="n">
        <v>12</v>
      </c>
      <c r="E41" s="9" t="s">
        <v>146</v>
      </c>
      <c r="F41" s="10" t="s">
        <v>147</v>
      </c>
      <c r="G41" s="11" t="s">
        <v>61</v>
      </c>
      <c r="H41" s="11"/>
      <c r="I41" s="11"/>
    </row>
    <row r="42" customFormat="false" ht="15" hidden="false" customHeight="false" outlineLevel="0" collapsed="false">
      <c r="A42" s="9" t="s">
        <v>148</v>
      </c>
      <c r="B42" s="9" t="n">
        <v>2</v>
      </c>
      <c r="C42" s="9" t="s">
        <v>139</v>
      </c>
      <c r="D42" s="9" t="n">
        <v>11</v>
      </c>
      <c r="E42" s="9" t="s">
        <v>149</v>
      </c>
      <c r="F42" s="10" t="s">
        <v>150</v>
      </c>
      <c r="G42" s="11" t="s">
        <v>61</v>
      </c>
      <c r="H42" s="11"/>
      <c r="I42" s="11"/>
    </row>
    <row r="43" customFormat="false" ht="15" hidden="false" customHeight="false" outlineLevel="0" collapsed="false">
      <c r="A43" s="9" t="s">
        <v>151</v>
      </c>
      <c r="B43" s="9" t="n">
        <v>2</v>
      </c>
      <c r="C43" s="9" t="s">
        <v>139</v>
      </c>
      <c r="D43" s="9" t="n">
        <v>11</v>
      </c>
      <c r="E43" s="9" t="s">
        <v>152</v>
      </c>
      <c r="F43" s="10" t="s">
        <v>81</v>
      </c>
      <c r="G43" s="11" t="s">
        <v>61</v>
      </c>
      <c r="H43" s="11"/>
      <c r="I43" s="11"/>
    </row>
    <row r="44" customFormat="false" ht="15" hidden="false" customHeight="false" outlineLevel="0" collapsed="false">
      <c r="A44" s="9" t="s">
        <v>153</v>
      </c>
      <c r="B44" s="9" t="n">
        <v>2</v>
      </c>
      <c r="C44" s="9" t="s">
        <v>139</v>
      </c>
      <c r="D44" s="9" t="n">
        <v>10</v>
      </c>
      <c r="E44" s="9" t="s">
        <v>154</v>
      </c>
      <c r="F44" s="10" t="s">
        <v>155</v>
      </c>
      <c r="G44" s="11" t="s">
        <v>61</v>
      </c>
      <c r="H44" s="11"/>
      <c r="I44" s="11"/>
    </row>
    <row r="45" customFormat="false" ht="15" hidden="false" customHeight="false" outlineLevel="0" collapsed="false">
      <c r="A45" s="9" t="s">
        <v>156</v>
      </c>
      <c r="B45" s="9" t="n">
        <v>2</v>
      </c>
      <c r="C45" s="9" t="s">
        <v>139</v>
      </c>
      <c r="D45" s="9" t="n">
        <v>10</v>
      </c>
      <c r="E45" s="9" t="s">
        <v>157</v>
      </c>
      <c r="F45" s="10" t="s">
        <v>99</v>
      </c>
      <c r="G45" s="11" t="s">
        <v>61</v>
      </c>
      <c r="H45" s="11"/>
      <c r="I45" s="11"/>
    </row>
    <row r="46" customFormat="false" ht="15" hidden="false" customHeight="false" outlineLevel="0" collapsed="false">
      <c r="A46" s="9" t="s">
        <v>158</v>
      </c>
      <c r="B46" s="9" t="n">
        <v>2</v>
      </c>
      <c r="C46" s="9" t="s">
        <v>139</v>
      </c>
      <c r="D46" s="9" t="n">
        <v>10</v>
      </c>
      <c r="E46" s="9" t="s">
        <v>116</v>
      </c>
      <c r="F46" s="10" t="s">
        <v>159</v>
      </c>
      <c r="G46" s="11" t="s">
        <v>61</v>
      </c>
      <c r="H46" s="11"/>
      <c r="I46" s="11"/>
    </row>
    <row r="47" customFormat="false" ht="15" hidden="false" customHeight="false" outlineLevel="0" collapsed="false">
      <c r="A47" s="9" t="s">
        <v>160</v>
      </c>
      <c r="B47" s="9" t="n">
        <v>2</v>
      </c>
      <c r="C47" s="9" t="s">
        <v>139</v>
      </c>
      <c r="D47" s="9" t="n">
        <v>10</v>
      </c>
      <c r="E47" s="9" t="s">
        <v>140</v>
      </c>
      <c r="F47" s="10" t="s">
        <v>99</v>
      </c>
      <c r="G47" s="11" t="s">
        <v>61</v>
      </c>
      <c r="H47" s="11"/>
      <c r="I47" s="11"/>
    </row>
    <row r="48" customFormat="false" ht="15" hidden="false" customHeight="false" outlineLevel="0" collapsed="false">
      <c r="A48" s="9" t="s">
        <v>161</v>
      </c>
      <c r="B48" s="9" t="n">
        <v>2</v>
      </c>
      <c r="C48" s="9" t="s">
        <v>139</v>
      </c>
      <c r="D48" s="9" t="n">
        <v>10</v>
      </c>
      <c r="E48" s="9" t="s">
        <v>140</v>
      </c>
      <c r="F48" s="10" t="s">
        <v>162</v>
      </c>
      <c r="G48" s="11" t="s">
        <v>61</v>
      </c>
      <c r="H48" s="11"/>
      <c r="I48" s="11"/>
    </row>
    <row r="49" customFormat="false" ht="15" hidden="false" customHeight="false" outlineLevel="0" collapsed="false">
      <c r="A49" s="9" t="s">
        <v>163</v>
      </c>
      <c r="B49" s="9" t="n">
        <v>2</v>
      </c>
      <c r="C49" s="9" t="s">
        <v>139</v>
      </c>
      <c r="D49" s="9" t="n">
        <v>10</v>
      </c>
      <c r="E49" s="9" t="s">
        <v>136</v>
      </c>
      <c r="F49" s="10" t="s">
        <v>164</v>
      </c>
      <c r="G49" s="11" t="s">
        <v>61</v>
      </c>
      <c r="H49" s="11"/>
      <c r="I49" s="11"/>
    </row>
    <row r="50" customFormat="false" ht="26.85" hidden="false" customHeight="false" outlineLevel="0" collapsed="false">
      <c r="A50" s="9" t="s">
        <v>165</v>
      </c>
      <c r="B50" s="9" t="n">
        <v>2</v>
      </c>
      <c r="C50" s="9" t="s">
        <v>139</v>
      </c>
      <c r="D50" s="9" t="n">
        <v>10</v>
      </c>
      <c r="E50" s="9" t="s">
        <v>166</v>
      </c>
      <c r="F50" s="10" t="s">
        <v>167</v>
      </c>
      <c r="G50" s="11" t="s">
        <v>61</v>
      </c>
      <c r="H50" s="11"/>
      <c r="I50" s="11"/>
    </row>
    <row r="51" customFormat="false" ht="15" hidden="false" customHeight="false" outlineLevel="0" collapsed="false">
      <c r="A51" s="9" t="s">
        <v>168</v>
      </c>
      <c r="B51" s="9" t="n">
        <v>2</v>
      </c>
      <c r="C51" s="9" t="s">
        <v>139</v>
      </c>
      <c r="D51" s="9" t="n">
        <v>10</v>
      </c>
      <c r="E51" s="9" t="s">
        <v>74</v>
      </c>
      <c r="F51" s="10" t="s">
        <v>87</v>
      </c>
      <c r="G51" s="11" t="s">
        <v>61</v>
      </c>
      <c r="H51" s="11"/>
      <c r="I51" s="11"/>
    </row>
    <row r="52" customFormat="false" ht="15" hidden="false" customHeight="false" outlineLevel="0" collapsed="false">
      <c r="A52" s="9" t="s">
        <v>169</v>
      </c>
      <c r="B52" s="9" t="n">
        <v>2</v>
      </c>
      <c r="C52" s="9" t="s">
        <v>139</v>
      </c>
      <c r="D52" s="9" t="n">
        <v>10</v>
      </c>
      <c r="E52" s="9" t="s">
        <v>170</v>
      </c>
      <c r="F52" s="10" t="s">
        <v>171</v>
      </c>
      <c r="G52" s="11" t="s">
        <v>61</v>
      </c>
      <c r="H52" s="11"/>
      <c r="I52" s="11"/>
    </row>
    <row r="53" customFormat="false" ht="15" hidden="false" customHeight="false" outlineLevel="0" collapsed="false">
      <c r="A53" s="9" t="s">
        <v>172</v>
      </c>
      <c r="B53" s="9" t="n">
        <v>2</v>
      </c>
      <c r="C53" s="9" t="s">
        <v>139</v>
      </c>
      <c r="D53" s="9" t="n">
        <v>10</v>
      </c>
      <c r="E53" s="9" t="s">
        <v>143</v>
      </c>
      <c r="F53" s="10" t="s">
        <v>173</v>
      </c>
      <c r="G53" s="11" t="s">
        <v>61</v>
      </c>
      <c r="H53" s="11"/>
      <c r="I53" s="11"/>
    </row>
    <row r="54" customFormat="false" ht="15" hidden="false" customHeight="false" outlineLevel="0" collapsed="false">
      <c r="A54" s="9" t="s">
        <v>174</v>
      </c>
      <c r="B54" s="9" t="n">
        <v>2</v>
      </c>
      <c r="C54" s="9" t="s">
        <v>139</v>
      </c>
      <c r="D54" s="9" t="n">
        <v>10</v>
      </c>
      <c r="E54" s="9" t="s">
        <v>140</v>
      </c>
      <c r="F54" s="10" t="s">
        <v>175</v>
      </c>
      <c r="G54" s="11" t="s">
        <v>61</v>
      </c>
      <c r="H54" s="11"/>
      <c r="I54" s="11"/>
    </row>
    <row r="55" customFormat="false" ht="15" hidden="false" customHeight="false" outlineLevel="0" collapsed="false">
      <c r="A55" s="9" t="s">
        <v>176</v>
      </c>
      <c r="B55" s="9" t="n">
        <v>2</v>
      </c>
      <c r="C55" s="9" t="s">
        <v>139</v>
      </c>
      <c r="D55" s="9" t="n">
        <v>10</v>
      </c>
      <c r="E55" s="9" t="s">
        <v>177</v>
      </c>
      <c r="F55" s="10" t="s">
        <v>99</v>
      </c>
      <c r="G55" s="11" t="s">
        <v>61</v>
      </c>
      <c r="H55" s="11"/>
      <c r="I55" s="11"/>
    </row>
    <row r="56" customFormat="false" ht="15" hidden="false" customHeight="false" outlineLevel="0" collapsed="false">
      <c r="A56" s="9" t="s">
        <v>178</v>
      </c>
      <c r="B56" s="9" t="n">
        <v>2</v>
      </c>
      <c r="C56" s="9" t="s">
        <v>139</v>
      </c>
      <c r="D56" s="9" t="n">
        <v>10</v>
      </c>
      <c r="E56" s="9" t="s">
        <v>179</v>
      </c>
      <c r="F56" s="10" t="s">
        <v>99</v>
      </c>
      <c r="G56" s="11" t="s">
        <v>61</v>
      </c>
      <c r="H56" s="11"/>
      <c r="I56" s="11"/>
    </row>
    <row r="57" customFormat="false" ht="15" hidden="false" customHeight="false" outlineLevel="0" collapsed="false">
      <c r="A57" s="9" t="s">
        <v>180</v>
      </c>
      <c r="B57" s="9" t="n">
        <v>2</v>
      </c>
      <c r="C57" s="9" t="s">
        <v>139</v>
      </c>
      <c r="D57" s="9" t="n">
        <v>9</v>
      </c>
      <c r="E57" s="9" t="s">
        <v>63</v>
      </c>
      <c r="F57" s="10" t="s">
        <v>181</v>
      </c>
      <c r="G57" s="11" t="s">
        <v>61</v>
      </c>
      <c r="H57" s="11"/>
      <c r="I57" s="11"/>
    </row>
    <row r="58" customFormat="false" ht="15" hidden="false" customHeight="false" outlineLevel="0" collapsed="false">
      <c r="A58" s="9" t="s">
        <v>182</v>
      </c>
      <c r="B58" s="9" t="n">
        <v>2</v>
      </c>
      <c r="C58" s="9" t="s">
        <v>139</v>
      </c>
      <c r="D58" s="9" t="n">
        <v>9</v>
      </c>
      <c r="E58" s="9" t="s">
        <v>154</v>
      </c>
      <c r="F58" s="10" t="s">
        <v>155</v>
      </c>
      <c r="G58" s="11" t="s">
        <v>61</v>
      </c>
      <c r="H58" s="11"/>
      <c r="I58" s="11"/>
    </row>
    <row r="59" customFormat="false" ht="15" hidden="false" customHeight="false" outlineLevel="0" collapsed="false">
      <c r="A59" s="9" t="s">
        <v>183</v>
      </c>
      <c r="B59" s="9" t="n">
        <v>2</v>
      </c>
      <c r="C59" s="9" t="s">
        <v>139</v>
      </c>
      <c r="D59" s="9" t="n">
        <v>9</v>
      </c>
      <c r="E59" s="9" t="s">
        <v>69</v>
      </c>
      <c r="F59" s="10" t="s">
        <v>70</v>
      </c>
      <c r="G59" s="11" t="s">
        <v>61</v>
      </c>
      <c r="H59" s="11"/>
      <c r="I59" s="11"/>
    </row>
    <row r="60" customFormat="false" ht="15" hidden="false" customHeight="false" outlineLevel="0" collapsed="false">
      <c r="A60" s="9" t="s">
        <v>184</v>
      </c>
      <c r="B60" s="9" t="n">
        <v>2</v>
      </c>
      <c r="C60" s="9" t="s">
        <v>139</v>
      </c>
      <c r="D60" s="9" t="n">
        <v>9</v>
      </c>
      <c r="E60" s="9" t="s">
        <v>54</v>
      </c>
      <c r="F60" s="10" t="s">
        <v>99</v>
      </c>
      <c r="G60" s="11" t="s">
        <v>61</v>
      </c>
      <c r="H60" s="11"/>
      <c r="I60" s="11"/>
    </row>
    <row r="61" customFormat="false" ht="15" hidden="false" customHeight="false" outlineLevel="0" collapsed="false">
      <c r="A61" s="9" t="s">
        <v>185</v>
      </c>
      <c r="B61" s="9" t="n">
        <v>2</v>
      </c>
      <c r="C61" s="9" t="s">
        <v>139</v>
      </c>
      <c r="D61" s="9" t="n">
        <v>9</v>
      </c>
      <c r="E61" s="9" t="s">
        <v>63</v>
      </c>
      <c r="F61" s="10" t="s">
        <v>186</v>
      </c>
      <c r="G61" s="11" t="s">
        <v>61</v>
      </c>
      <c r="H61" s="11"/>
      <c r="I61" s="11"/>
    </row>
    <row r="62" customFormat="false" ht="15" hidden="false" customHeight="false" outlineLevel="0" collapsed="false">
      <c r="A62" s="9" t="s">
        <v>187</v>
      </c>
      <c r="B62" s="9" t="n">
        <v>2</v>
      </c>
      <c r="C62" s="9" t="s">
        <v>139</v>
      </c>
      <c r="D62" s="9" t="n">
        <v>8</v>
      </c>
      <c r="E62" s="9" t="s">
        <v>188</v>
      </c>
      <c r="F62" s="10" t="s">
        <v>189</v>
      </c>
      <c r="G62" s="11" t="s">
        <v>61</v>
      </c>
      <c r="H62" s="11"/>
      <c r="I62" s="11"/>
    </row>
    <row r="63" customFormat="false" ht="15" hidden="false" customHeight="false" outlineLevel="0" collapsed="false">
      <c r="A63" s="9" t="s">
        <v>190</v>
      </c>
      <c r="B63" s="9" t="n">
        <v>2</v>
      </c>
      <c r="C63" s="9" t="s">
        <v>139</v>
      </c>
      <c r="D63" s="9" t="n">
        <v>8</v>
      </c>
      <c r="E63" s="9" t="s">
        <v>191</v>
      </c>
      <c r="F63" s="10" t="s">
        <v>87</v>
      </c>
      <c r="G63" s="11" t="s">
        <v>61</v>
      </c>
      <c r="H63" s="11"/>
      <c r="I63" s="11"/>
    </row>
    <row r="64" customFormat="false" ht="15" hidden="false" customHeight="false" outlineLevel="0" collapsed="false">
      <c r="A64" s="9" t="s">
        <v>192</v>
      </c>
      <c r="B64" s="9" t="n">
        <v>2</v>
      </c>
      <c r="C64" s="9" t="s">
        <v>139</v>
      </c>
      <c r="D64" s="9" t="n">
        <v>8</v>
      </c>
      <c r="E64" s="9" t="s">
        <v>193</v>
      </c>
      <c r="F64" s="10" t="s">
        <v>155</v>
      </c>
      <c r="G64" s="11" t="s">
        <v>61</v>
      </c>
      <c r="H64" s="11"/>
      <c r="I64" s="11"/>
    </row>
    <row r="65" customFormat="false" ht="15" hidden="false" customHeight="false" outlineLevel="0" collapsed="false">
      <c r="A65" s="9" t="s">
        <v>194</v>
      </c>
      <c r="B65" s="9" t="n">
        <v>2</v>
      </c>
      <c r="C65" s="9" t="s">
        <v>139</v>
      </c>
      <c r="D65" s="9" t="n">
        <v>8</v>
      </c>
      <c r="E65" s="9" t="s">
        <v>195</v>
      </c>
      <c r="F65" s="10" t="s">
        <v>186</v>
      </c>
      <c r="G65" s="11" t="s">
        <v>61</v>
      </c>
      <c r="H65" s="11"/>
      <c r="I65" s="11"/>
    </row>
    <row r="66" customFormat="false" ht="15" hidden="false" customHeight="false" outlineLevel="0" collapsed="false">
      <c r="A66" s="9" t="s">
        <v>196</v>
      </c>
      <c r="B66" s="9" t="n">
        <v>2</v>
      </c>
      <c r="C66" s="9" t="s">
        <v>139</v>
      </c>
      <c r="D66" s="9" t="n">
        <v>8</v>
      </c>
      <c r="E66" s="9" t="s">
        <v>154</v>
      </c>
      <c r="F66" s="10" t="s">
        <v>155</v>
      </c>
      <c r="G66" s="11" t="s">
        <v>61</v>
      </c>
      <c r="H66" s="11"/>
      <c r="I66" s="11"/>
    </row>
    <row r="67" customFormat="false" ht="15" hidden="false" customHeight="false" outlineLevel="0" collapsed="false">
      <c r="A67" s="9" t="s">
        <v>197</v>
      </c>
      <c r="B67" s="9" t="n">
        <v>2</v>
      </c>
      <c r="C67" s="9" t="s">
        <v>139</v>
      </c>
      <c r="D67" s="9" t="n">
        <v>8</v>
      </c>
      <c r="E67" s="9" t="s">
        <v>98</v>
      </c>
      <c r="F67" s="10" t="s">
        <v>99</v>
      </c>
      <c r="G67" s="11" t="s">
        <v>61</v>
      </c>
      <c r="H67" s="11"/>
      <c r="I67" s="11"/>
    </row>
    <row r="68" customFormat="false" ht="15" hidden="false" customHeight="false" outlineLevel="0" collapsed="false">
      <c r="A68" s="9" t="s">
        <v>198</v>
      </c>
      <c r="B68" s="9" t="n">
        <v>2</v>
      </c>
      <c r="C68" s="9" t="s">
        <v>139</v>
      </c>
      <c r="D68" s="9" t="n">
        <v>8</v>
      </c>
      <c r="E68" s="9" t="s">
        <v>199</v>
      </c>
      <c r="F68" s="10" t="s">
        <v>99</v>
      </c>
      <c r="G68" s="11" t="s">
        <v>61</v>
      </c>
      <c r="H68" s="11"/>
      <c r="I68" s="11"/>
    </row>
    <row r="69" customFormat="false" ht="15" hidden="false" customHeight="false" outlineLevel="0" collapsed="false">
      <c r="A69" s="9" t="s">
        <v>200</v>
      </c>
      <c r="B69" s="9" t="n">
        <v>2</v>
      </c>
      <c r="C69" s="9" t="s">
        <v>139</v>
      </c>
      <c r="D69" s="9" t="n">
        <v>8</v>
      </c>
      <c r="E69" s="9" t="s">
        <v>157</v>
      </c>
      <c r="F69" s="10" t="s">
        <v>201</v>
      </c>
      <c r="G69" s="11" t="s">
        <v>61</v>
      </c>
      <c r="H69" s="11"/>
      <c r="I69" s="11"/>
    </row>
    <row r="70" customFormat="false" ht="15" hidden="false" customHeight="false" outlineLevel="0" collapsed="false">
      <c r="A70" s="9" t="s">
        <v>202</v>
      </c>
      <c r="B70" s="9" t="n">
        <v>2</v>
      </c>
      <c r="C70" s="9" t="s">
        <v>139</v>
      </c>
      <c r="D70" s="9" t="n">
        <v>8</v>
      </c>
      <c r="E70" s="9" t="s">
        <v>154</v>
      </c>
      <c r="F70" s="10" t="s">
        <v>155</v>
      </c>
      <c r="G70" s="11" t="s">
        <v>61</v>
      </c>
      <c r="H70" s="11"/>
      <c r="I70" s="11"/>
    </row>
    <row r="71" customFormat="false" ht="15" hidden="false" customHeight="false" outlineLevel="0" collapsed="false">
      <c r="A71" s="9" t="s">
        <v>203</v>
      </c>
      <c r="B71" s="9" t="n">
        <v>2</v>
      </c>
      <c r="C71" s="9" t="s">
        <v>139</v>
      </c>
      <c r="D71" s="9" t="n">
        <v>8</v>
      </c>
      <c r="E71" s="9" t="s">
        <v>101</v>
      </c>
      <c r="F71" s="10" t="s">
        <v>204</v>
      </c>
      <c r="G71" s="11" t="s">
        <v>61</v>
      </c>
      <c r="H71" s="11"/>
      <c r="I71" s="11"/>
    </row>
    <row r="72" customFormat="false" ht="15" hidden="false" customHeight="false" outlineLevel="0" collapsed="false">
      <c r="A72" s="9" t="s">
        <v>205</v>
      </c>
      <c r="B72" s="9" t="n">
        <v>2</v>
      </c>
      <c r="C72" s="9" t="s">
        <v>139</v>
      </c>
      <c r="D72" s="9" t="n">
        <v>8</v>
      </c>
      <c r="E72" s="9" t="s">
        <v>101</v>
      </c>
      <c r="F72" s="10" t="s">
        <v>99</v>
      </c>
      <c r="G72" s="11" t="s">
        <v>61</v>
      </c>
      <c r="H72" s="11"/>
      <c r="I72" s="11"/>
    </row>
    <row r="73" customFormat="false" ht="15" hidden="false" customHeight="false" outlineLevel="0" collapsed="false">
      <c r="A73" s="9" t="s">
        <v>206</v>
      </c>
      <c r="B73" s="9" t="n">
        <v>2</v>
      </c>
      <c r="C73" s="9" t="s">
        <v>139</v>
      </c>
      <c r="D73" s="9" t="n">
        <v>8</v>
      </c>
      <c r="E73" s="9" t="s">
        <v>54</v>
      </c>
      <c r="F73" s="10" t="s">
        <v>87</v>
      </c>
      <c r="G73" s="11" t="s">
        <v>61</v>
      </c>
      <c r="H73" s="11"/>
      <c r="I73" s="11"/>
    </row>
    <row r="74" customFormat="false" ht="15" hidden="false" customHeight="false" outlineLevel="0" collapsed="false">
      <c r="A74" s="9" t="s">
        <v>207</v>
      </c>
      <c r="B74" s="9" t="n">
        <v>2</v>
      </c>
      <c r="C74" s="9" t="s">
        <v>139</v>
      </c>
      <c r="D74" s="9" t="n">
        <v>8</v>
      </c>
      <c r="E74" s="9" t="s">
        <v>74</v>
      </c>
      <c r="F74" s="10" t="s">
        <v>99</v>
      </c>
      <c r="G74" s="11" t="s">
        <v>61</v>
      </c>
      <c r="H74" s="11"/>
      <c r="I74" s="11"/>
    </row>
    <row r="75" customFormat="false" ht="15" hidden="false" customHeight="false" outlineLevel="0" collapsed="false">
      <c r="A75" s="9" t="s">
        <v>208</v>
      </c>
      <c r="B75" s="9" t="n">
        <v>2</v>
      </c>
      <c r="C75" s="9" t="s">
        <v>139</v>
      </c>
      <c r="D75" s="9" t="n">
        <v>8</v>
      </c>
      <c r="E75" s="9" t="s">
        <v>209</v>
      </c>
      <c r="F75" s="10" t="s">
        <v>210</v>
      </c>
      <c r="G75" s="11" t="s">
        <v>61</v>
      </c>
      <c r="H75" s="11"/>
      <c r="I75" s="11"/>
    </row>
    <row r="76" customFormat="false" ht="15" hidden="false" customHeight="false" outlineLevel="0" collapsed="false">
      <c r="A76" s="9" t="s">
        <v>211</v>
      </c>
      <c r="B76" s="9" t="n">
        <v>2</v>
      </c>
      <c r="C76" s="9" t="s">
        <v>139</v>
      </c>
      <c r="D76" s="9" t="n">
        <v>8</v>
      </c>
      <c r="E76" s="9" t="s">
        <v>212</v>
      </c>
      <c r="F76" s="10" t="s">
        <v>173</v>
      </c>
      <c r="G76" s="11" t="s">
        <v>61</v>
      </c>
      <c r="H76" s="11"/>
      <c r="I76" s="11"/>
    </row>
    <row r="77" customFormat="false" ht="15" hidden="false" customHeight="false" outlineLevel="0" collapsed="false">
      <c r="A77" s="9" t="s">
        <v>213</v>
      </c>
      <c r="B77" s="9" t="n">
        <v>2</v>
      </c>
      <c r="C77" s="9" t="s">
        <v>139</v>
      </c>
      <c r="D77" s="9" t="n">
        <v>8</v>
      </c>
      <c r="E77" s="9" t="s">
        <v>214</v>
      </c>
      <c r="F77" s="10" t="s">
        <v>99</v>
      </c>
      <c r="G77" s="11" t="s">
        <v>61</v>
      </c>
      <c r="H77" s="11"/>
      <c r="I77" s="11"/>
    </row>
    <row r="78" customFormat="false" ht="15" hidden="false" customHeight="false" outlineLevel="0" collapsed="false">
      <c r="A78" s="9" t="s">
        <v>215</v>
      </c>
      <c r="B78" s="9" t="n">
        <v>2</v>
      </c>
      <c r="C78" s="9" t="s">
        <v>139</v>
      </c>
      <c r="D78" s="9" t="n">
        <v>8</v>
      </c>
      <c r="E78" s="9" t="s">
        <v>216</v>
      </c>
      <c r="F78" s="10" t="s">
        <v>217</v>
      </c>
      <c r="G78" s="11" t="s">
        <v>61</v>
      </c>
      <c r="H78" s="11"/>
      <c r="I78" s="11"/>
    </row>
    <row r="79" customFormat="false" ht="15" hidden="false" customHeight="false" outlineLevel="0" collapsed="false">
      <c r="A79" s="9" t="s">
        <v>218</v>
      </c>
      <c r="B79" s="9" t="n">
        <v>2</v>
      </c>
      <c r="C79" s="9" t="s">
        <v>139</v>
      </c>
      <c r="D79" s="9" t="n">
        <v>8</v>
      </c>
      <c r="E79" s="9" t="s">
        <v>219</v>
      </c>
      <c r="F79" s="10" t="s">
        <v>210</v>
      </c>
      <c r="G79" s="11" t="s">
        <v>61</v>
      </c>
      <c r="H79" s="11"/>
      <c r="I79" s="11"/>
    </row>
    <row r="80" customFormat="false" ht="15" hidden="false" customHeight="false" outlineLevel="0" collapsed="false">
      <c r="A80" s="9" t="s">
        <v>220</v>
      </c>
      <c r="B80" s="9" t="n">
        <v>2</v>
      </c>
      <c r="C80" s="9" t="s">
        <v>139</v>
      </c>
      <c r="D80" s="9" t="n">
        <v>7</v>
      </c>
      <c r="E80" s="9" t="s">
        <v>136</v>
      </c>
      <c r="F80" s="10" t="s">
        <v>221</v>
      </c>
      <c r="G80" s="11" t="s">
        <v>61</v>
      </c>
      <c r="H80" s="11"/>
      <c r="I80" s="11"/>
    </row>
    <row r="81" customFormat="false" ht="15" hidden="false" customHeight="false" outlineLevel="0" collapsed="false">
      <c r="A81" s="9" t="s">
        <v>222</v>
      </c>
      <c r="B81" s="9" t="n">
        <v>2</v>
      </c>
      <c r="C81" s="9" t="s">
        <v>139</v>
      </c>
      <c r="D81" s="9" t="n">
        <v>7</v>
      </c>
      <c r="E81" s="9" t="s">
        <v>140</v>
      </c>
      <c r="F81" s="10" t="s">
        <v>181</v>
      </c>
      <c r="G81" s="11" t="s">
        <v>61</v>
      </c>
      <c r="H81" s="11"/>
      <c r="I81" s="11"/>
    </row>
    <row r="82" customFormat="false" ht="15" hidden="false" customHeight="false" outlineLevel="0" collapsed="false">
      <c r="A82" s="9" t="s">
        <v>223</v>
      </c>
      <c r="B82" s="9" t="n">
        <v>2</v>
      </c>
      <c r="C82" s="9" t="s">
        <v>139</v>
      </c>
      <c r="D82" s="9" t="n">
        <v>7</v>
      </c>
      <c r="E82" s="9" t="s">
        <v>143</v>
      </c>
      <c r="F82" s="10" t="s">
        <v>173</v>
      </c>
      <c r="G82" s="11" t="s">
        <v>61</v>
      </c>
      <c r="H82" s="11"/>
      <c r="I82" s="11"/>
    </row>
    <row r="83" customFormat="false" ht="15" hidden="false" customHeight="false" outlineLevel="0" collapsed="false">
      <c r="A83" s="9" t="s">
        <v>224</v>
      </c>
      <c r="B83" s="9" t="n">
        <v>2</v>
      </c>
      <c r="C83" s="9" t="s">
        <v>139</v>
      </c>
      <c r="D83" s="9" t="n">
        <v>7</v>
      </c>
      <c r="E83" s="9" t="s">
        <v>143</v>
      </c>
      <c r="F83" s="10" t="s">
        <v>173</v>
      </c>
      <c r="G83" s="11" t="s">
        <v>61</v>
      </c>
      <c r="H83" s="11"/>
      <c r="I83" s="11"/>
    </row>
    <row r="84" customFormat="false" ht="15" hidden="false" customHeight="false" outlineLevel="0" collapsed="false">
      <c r="A84" s="9" t="s">
        <v>225</v>
      </c>
      <c r="B84" s="9" t="n">
        <v>2</v>
      </c>
      <c r="C84" s="9" t="s">
        <v>139</v>
      </c>
      <c r="D84" s="9" t="n">
        <v>7</v>
      </c>
      <c r="E84" s="9" t="s">
        <v>188</v>
      </c>
      <c r="F84" s="10" t="s">
        <v>189</v>
      </c>
      <c r="G84" s="11" t="s">
        <v>61</v>
      </c>
      <c r="H84" s="11"/>
      <c r="I84" s="11"/>
    </row>
    <row r="85" customFormat="false" ht="15" hidden="false" customHeight="false" outlineLevel="0" collapsed="false">
      <c r="A85" s="9" t="s">
        <v>226</v>
      </c>
      <c r="B85" s="9" t="n">
        <v>2</v>
      </c>
      <c r="C85" s="9" t="s">
        <v>139</v>
      </c>
      <c r="D85" s="9" t="n">
        <v>7</v>
      </c>
      <c r="E85" s="9" t="s">
        <v>136</v>
      </c>
      <c r="F85" s="10" t="s">
        <v>221</v>
      </c>
      <c r="G85" s="11" t="s">
        <v>61</v>
      </c>
      <c r="H85" s="11"/>
      <c r="I85" s="11"/>
    </row>
    <row r="86" customFormat="false" ht="26.85" hidden="false" customHeight="false" outlineLevel="0" collapsed="false">
      <c r="A86" s="9" t="s">
        <v>227</v>
      </c>
      <c r="B86" s="9" t="n">
        <v>2</v>
      </c>
      <c r="C86" s="9" t="s">
        <v>139</v>
      </c>
      <c r="D86" s="9" t="n">
        <v>6</v>
      </c>
      <c r="E86" s="9" t="s">
        <v>228</v>
      </c>
      <c r="F86" s="10" t="s">
        <v>229</v>
      </c>
      <c r="G86" s="11" t="s">
        <v>61</v>
      </c>
      <c r="H86" s="11"/>
      <c r="I86" s="11"/>
    </row>
    <row r="87" customFormat="false" ht="15" hidden="false" customHeight="false" outlineLevel="0" collapsed="false">
      <c r="A87" s="9" t="s">
        <v>230</v>
      </c>
      <c r="B87" s="9" t="n">
        <v>2</v>
      </c>
      <c r="C87" s="9" t="s">
        <v>139</v>
      </c>
      <c r="D87" s="9" t="n">
        <v>6</v>
      </c>
      <c r="E87" s="9" t="s">
        <v>231</v>
      </c>
      <c r="F87" s="10" t="s">
        <v>70</v>
      </c>
      <c r="G87" s="11" t="s">
        <v>61</v>
      </c>
      <c r="H87" s="11"/>
      <c r="I87" s="11"/>
    </row>
    <row r="88" customFormat="false" ht="15" hidden="false" customHeight="false" outlineLevel="0" collapsed="false">
      <c r="A88" s="9" t="s">
        <v>232</v>
      </c>
      <c r="B88" s="9" t="n">
        <v>2</v>
      </c>
      <c r="C88" s="9" t="s">
        <v>139</v>
      </c>
      <c r="D88" s="9" t="n">
        <v>6</v>
      </c>
      <c r="E88" s="9" t="s">
        <v>233</v>
      </c>
      <c r="F88" s="10" t="s">
        <v>234</v>
      </c>
      <c r="G88" s="11" t="s">
        <v>61</v>
      </c>
      <c r="H88" s="11"/>
      <c r="I88" s="11"/>
    </row>
    <row r="89" customFormat="false" ht="15" hidden="false" customHeight="false" outlineLevel="0" collapsed="false">
      <c r="A89" s="9" t="s">
        <v>235</v>
      </c>
      <c r="B89" s="9" t="n">
        <v>2</v>
      </c>
      <c r="C89" s="9" t="s">
        <v>139</v>
      </c>
      <c r="D89" s="9" t="n">
        <v>6</v>
      </c>
      <c r="E89" s="9" t="s">
        <v>233</v>
      </c>
      <c r="F89" s="10" t="s">
        <v>173</v>
      </c>
      <c r="G89" s="11" t="s">
        <v>61</v>
      </c>
      <c r="H89" s="11"/>
      <c r="I89" s="11"/>
    </row>
    <row r="90" customFormat="false" ht="15" hidden="false" customHeight="false" outlineLevel="0" collapsed="false">
      <c r="A90" s="9" t="s">
        <v>236</v>
      </c>
      <c r="B90" s="9" t="n">
        <v>2</v>
      </c>
      <c r="C90" s="9" t="s">
        <v>139</v>
      </c>
      <c r="D90" s="9" t="n">
        <v>6</v>
      </c>
      <c r="E90" s="9" t="s">
        <v>98</v>
      </c>
      <c r="F90" s="10" t="s">
        <v>237</v>
      </c>
      <c r="G90" s="11" t="s">
        <v>61</v>
      </c>
      <c r="H90" s="11"/>
      <c r="I90" s="11"/>
    </row>
    <row r="91" customFormat="false" ht="15" hidden="false" customHeight="false" outlineLevel="0" collapsed="false">
      <c r="A91" s="9" t="s">
        <v>238</v>
      </c>
      <c r="B91" s="9" t="n">
        <v>2</v>
      </c>
      <c r="C91" s="9" t="s">
        <v>139</v>
      </c>
      <c r="D91" s="9" t="n">
        <v>6</v>
      </c>
      <c r="E91" s="9" t="s">
        <v>66</v>
      </c>
      <c r="F91" s="10" t="s">
        <v>67</v>
      </c>
      <c r="G91" s="11" t="s">
        <v>61</v>
      </c>
      <c r="H91" s="11"/>
      <c r="I91" s="11"/>
    </row>
    <row r="92" customFormat="false" ht="15" hidden="false" customHeight="false" outlineLevel="0" collapsed="false">
      <c r="A92" s="9" t="s">
        <v>239</v>
      </c>
      <c r="B92" s="9" t="n">
        <v>2</v>
      </c>
      <c r="C92" s="9" t="s">
        <v>139</v>
      </c>
      <c r="D92" s="9" t="n">
        <v>6</v>
      </c>
      <c r="E92" s="9" t="s">
        <v>240</v>
      </c>
      <c r="F92" s="10" t="s">
        <v>70</v>
      </c>
      <c r="G92" s="11" t="s">
        <v>61</v>
      </c>
      <c r="H92" s="11"/>
      <c r="I92" s="11"/>
    </row>
    <row r="93" customFormat="false" ht="15" hidden="false" customHeight="false" outlineLevel="0" collapsed="false">
      <c r="A93" s="9" t="s">
        <v>241</v>
      </c>
      <c r="B93" s="9" t="n">
        <v>2</v>
      </c>
      <c r="C93" s="9" t="s">
        <v>139</v>
      </c>
      <c r="D93" s="9" t="n">
        <v>6</v>
      </c>
      <c r="E93" s="9" t="s">
        <v>143</v>
      </c>
      <c r="F93" s="10" t="s">
        <v>173</v>
      </c>
      <c r="G93" s="11" t="s">
        <v>61</v>
      </c>
      <c r="H93" s="11"/>
      <c r="I93" s="11"/>
    </row>
    <row r="94" customFormat="false" ht="15" hidden="false" customHeight="false" outlineLevel="0" collapsed="false">
      <c r="A94" s="9" t="s">
        <v>242</v>
      </c>
      <c r="B94" s="9" t="n">
        <v>3</v>
      </c>
      <c r="C94" s="9" t="s">
        <v>243</v>
      </c>
      <c r="D94" s="9" t="n">
        <v>25</v>
      </c>
      <c r="E94" s="9" t="s">
        <v>244</v>
      </c>
      <c r="F94" s="10" t="s">
        <v>201</v>
      </c>
      <c r="G94" s="11" t="s">
        <v>61</v>
      </c>
      <c r="H94" s="11"/>
      <c r="I94" s="11"/>
    </row>
    <row r="95" customFormat="false" ht="15" hidden="false" customHeight="false" outlineLevel="0" collapsed="false">
      <c r="A95" s="9" t="s">
        <v>245</v>
      </c>
      <c r="B95" s="9" t="n">
        <v>3</v>
      </c>
      <c r="C95" s="9" t="s">
        <v>243</v>
      </c>
      <c r="D95" s="9" t="n">
        <v>22</v>
      </c>
      <c r="E95" s="9" t="s">
        <v>63</v>
      </c>
      <c r="F95" s="10" t="s">
        <v>246</v>
      </c>
      <c r="G95" s="11" t="s">
        <v>61</v>
      </c>
      <c r="H95" s="11"/>
      <c r="I95" s="11"/>
    </row>
    <row r="96" customFormat="false" ht="15" hidden="false" customHeight="false" outlineLevel="0" collapsed="false">
      <c r="A96" s="9" t="s">
        <v>247</v>
      </c>
      <c r="B96" s="9" t="n">
        <v>3</v>
      </c>
      <c r="C96" s="9" t="s">
        <v>243</v>
      </c>
      <c r="D96" s="9" t="n">
        <v>20</v>
      </c>
      <c r="E96" s="9" t="s">
        <v>248</v>
      </c>
      <c r="F96" s="10" t="s">
        <v>155</v>
      </c>
      <c r="G96" s="11" t="s">
        <v>61</v>
      </c>
      <c r="H96" s="11"/>
      <c r="I96" s="11"/>
    </row>
    <row r="97" customFormat="false" ht="15" hidden="false" customHeight="false" outlineLevel="0" collapsed="false">
      <c r="A97" s="9" t="s">
        <v>249</v>
      </c>
      <c r="B97" s="9" t="n">
        <v>3</v>
      </c>
      <c r="C97" s="9" t="s">
        <v>243</v>
      </c>
      <c r="D97" s="9" t="n">
        <v>20</v>
      </c>
      <c r="E97" s="9" t="s">
        <v>250</v>
      </c>
      <c r="F97" s="10" t="s">
        <v>201</v>
      </c>
      <c r="G97" s="11" t="s">
        <v>61</v>
      </c>
      <c r="H97" s="11"/>
      <c r="I97" s="11"/>
    </row>
    <row r="98" customFormat="false" ht="15" hidden="false" customHeight="false" outlineLevel="0" collapsed="false">
      <c r="A98" s="9" t="s">
        <v>251</v>
      </c>
      <c r="B98" s="9" t="n">
        <v>3</v>
      </c>
      <c r="C98" s="9" t="s">
        <v>243</v>
      </c>
      <c r="D98" s="9" t="n">
        <v>20</v>
      </c>
      <c r="E98" s="9" t="s">
        <v>252</v>
      </c>
      <c r="F98" s="10" t="s">
        <v>201</v>
      </c>
      <c r="G98" s="11" t="s">
        <v>61</v>
      </c>
      <c r="H98" s="11"/>
      <c r="I98" s="11"/>
    </row>
    <row r="99" customFormat="false" ht="15" hidden="false" customHeight="false" outlineLevel="0" collapsed="false">
      <c r="A99" s="9" t="s">
        <v>253</v>
      </c>
      <c r="B99" s="9" t="n">
        <v>3</v>
      </c>
      <c r="C99" s="9" t="s">
        <v>243</v>
      </c>
      <c r="D99" s="9" t="n">
        <v>20</v>
      </c>
      <c r="E99" s="9" t="s">
        <v>254</v>
      </c>
      <c r="F99" s="10" t="s">
        <v>201</v>
      </c>
      <c r="G99" s="11" t="s">
        <v>61</v>
      </c>
      <c r="H99" s="11"/>
      <c r="I99" s="11"/>
    </row>
    <row r="100" customFormat="false" ht="15" hidden="false" customHeight="false" outlineLevel="0" collapsed="false">
      <c r="A100" s="9" t="s">
        <v>255</v>
      </c>
      <c r="B100" s="9" t="n">
        <v>3</v>
      </c>
      <c r="C100" s="9" t="s">
        <v>243</v>
      </c>
      <c r="D100" s="9" t="n">
        <v>20</v>
      </c>
      <c r="E100" s="9" t="s">
        <v>254</v>
      </c>
      <c r="F100" s="10" t="s">
        <v>201</v>
      </c>
      <c r="G100" s="11" t="s">
        <v>61</v>
      </c>
      <c r="H100" s="11"/>
      <c r="I100" s="11"/>
    </row>
    <row r="101" customFormat="false" ht="15" hidden="false" customHeight="false" outlineLevel="0" collapsed="false">
      <c r="A101" s="9" t="s">
        <v>256</v>
      </c>
      <c r="B101" s="9" t="n">
        <v>3</v>
      </c>
      <c r="C101" s="9" t="s">
        <v>243</v>
      </c>
      <c r="D101" s="9" t="n">
        <v>19</v>
      </c>
      <c r="E101" s="9" t="s">
        <v>257</v>
      </c>
      <c r="F101" s="10" t="s">
        <v>201</v>
      </c>
      <c r="G101" s="11" t="s">
        <v>61</v>
      </c>
      <c r="H101" s="11"/>
      <c r="I101" s="11"/>
    </row>
    <row r="102" customFormat="false" ht="15" hidden="false" customHeight="false" outlineLevel="0" collapsed="false">
      <c r="A102" s="9" t="s">
        <v>258</v>
      </c>
      <c r="B102" s="9" t="n">
        <v>3</v>
      </c>
      <c r="C102" s="9" t="s">
        <v>243</v>
      </c>
      <c r="D102" s="9" t="n">
        <v>18</v>
      </c>
      <c r="E102" s="9" t="s">
        <v>101</v>
      </c>
      <c r="F102" s="10" t="s">
        <v>173</v>
      </c>
      <c r="G102" s="11" t="s">
        <v>61</v>
      </c>
      <c r="H102" s="11"/>
      <c r="I102" s="11"/>
    </row>
    <row r="103" customFormat="false" ht="15" hidden="false" customHeight="false" outlineLevel="0" collapsed="false">
      <c r="A103" s="9" t="s">
        <v>259</v>
      </c>
      <c r="B103" s="9" t="n">
        <v>3</v>
      </c>
      <c r="C103" s="9" t="s">
        <v>243</v>
      </c>
      <c r="D103" s="9" t="n">
        <v>18</v>
      </c>
      <c r="E103" s="9" t="s">
        <v>157</v>
      </c>
      <c r="F103" s="10" t="s">
        <v>99</v>
      </c>
      <c r="G103" s="11" t="s">
        <v>61</v>
      </c>
      <c r="H103" s="11"/>
      <c r="I103" s="11"/>
    </row>
    <row r="104" customFormat="false" ht="15" hidden="false" customHeight="false" outlineLevel="0" collapsed="false">
      <c r="A104" s="9" t="s">
        <v>260</v>
      </c>
      <c r="B104" s="9" t="n">
        <v>3</v>
      </c>
      <c r="C104" s="9" t="s">
        <v>243</v>
      </c>
      <c r="D104" s="9" t="n">
        <v>18</v>
      </c>
      <c r="E104" s="9" t="s">
        <v>250</v>
      </c>
      <c r="F104" s="10" t="s">
        <v>201</v>
      </c>
      <c r="G104" s="11" t="s">
        <v>61</v>
      </c>
      <c r="H104" s="11"/>
      <c r="I104" s="11"/>
    </row>
    <row r="105" customFormat="false" ht="15" hidden="false" customHeight="false" outlineLevel="0" collapsed="false">
      <c r="A105" s="9" t="s">
        <v>261</v>
      </c>
      <c r="B105" s="9" t="n">
        <v>3</v>
      </c>
      <c r="C105" s="9" t="s">
        <v>243</v>
      </c>
      <c r="D105" s="9" t="n">
        <v>17</v>
      </c>
      <c r="E105" s="9" t="s">
        <v>157</v>
      </c>
      <c r="F105" s="10" t="s">
        <v>262</v>
      </c>
      <c r="G105" s="11" t="s">
        <v>61</v>
      </c>
      <c r="H105" s="11"/>
      <c r="I105" s="11"/>
    </row>
    <row r="106" customFormat="false" ht="15" hidden="false" customHeight="false" outlineLevel="0" collapsed="false">
      <c r="A106" s="9" t="s">
        <v>263</v>
      </c>
      <c r="B106" s="9" t="n">
        <v>3</v>
      </c>
      <c r="C106" s="9" t="s">
        <v>243</v>
      </c>
      <c r="D106" s="9" t="n">
        <v>17</v>
      </c>
      <c r="E106" s="9" t="s">
        <v>157</v>
      </c>
      <c r="F106" s="10" t="s">
        <v>201</v>
      </c>
      <c r="G106" s="11" t="s">
        <v>61</v>
      </c>
      <c r="H106" s="11"/>
      <c r="I106" s="11"/>
    </row>
    <row r="107" customFormat="false" ht="15" hidden="false" customHeight="false" outlineLevel="0" collapsed="false">
      <c r="A107" s="9" t="s">
        <v>264</v>
      </c>
      <c r="B107" s="9" t="n">
        <v>3</v>
      </c>
      <c r="C107" s="9" t="s">
        <v>243</v>
      </c>
      <c r="D107" s="9" t="n">
        <v>16</v>
      </c>
      <c r="E107" s="9" t="s">
        <v>252</v>
      </c>
      <c r="F107" s="10" t="s">
        <v>201</v>
      </c>
      <c r="G107" s="11" t="s">
        <v>61</v>
      </c>
      <c r="H107" s="11"/>
      <c r="I107" s="11"/>
    </row>
    <row r="108" customFormat="false" ht="15" hidden="false" customHeight="false" outlineLevel="0" collapsed="false">
      <c r="A108" s="9" t="s">
        <v>265</v>
      </c>
      <c r="B108" s="9" t="n">
        <v>3</v>
      </c>
      <c r="C108" s="9" t="s">
        <v>243</v>
      </c>
      <c r="D108" s="9" t="n">
        <v>16</v>
      </c>
      <c r="E108" s="9" t="s">
        <v>143</v>
      </c>
      <c r="F108" s="10" t="s">
        <v>173</v>
      </c>
      <c r="G108" s="11" t="s">
        <v>61</v>
      </c>
      <c r="H108" s="11"/>
      <c r="I108" s="11"/>
    </row>
    <row r="109" customFormat="false" ht="15" hidden="false" customHeight="false" outlineLevel="0" collapsed="false">
      <c r="A109" s="9" t="s">
        <v>266</v>
      </c>
      <c r="B109" s="9" t="n">
        <v>3</v>
      </c>
      <c r="C109" s="9" t="s">
        <v>243</v>
      </c>
      <c r="D109" s="9" t="n">
        <v>15</v>
      </c>
      <c r="E109" s="9" t="s">
        <v>157</v>
      </c>
      <c r="F109" s="10" t="s">
        <v>99</v>
      </c>
      <c r="G109" s="11" t="s">
        <v>61</v>
      </c>
      <c r="H109" s="11"/>
      <c r="I109" s="11"/>
    </row>
    <row r="110" customFormat="false" ht="15" hidden="false" customHeight="false" outlineLevel="0" collapsed="false">
      <c r="A110" s="9" t="s">
        <v>267</v>
      </c>
      <c r="B110" s="9" t="n">
        <v>3</v>
      </c>
      <c r="C110" s="9" t="s">
        <v>243</v>
      </c>
      <c r="D110" s="9" t="n">
        <v>15</v>
      </c>
      <c r="E110" s="9" t="s">
        <v>252</v>
      </c>
      <c r="F110" s="10" t="s">
        <v>201</v>
      </c>
      <c r="G110" s="11" t="s">
        <v>61</v>
      </c>
      <c r="H110" s="11"/>
      <c r="I110" s="11"/>
    </row>
    <row r="111" customFormat="false" ht="15" hidden="false" customHeight="false" outlineLevel="0" collapsed="false">
      <c r="A111" s="9" t="s">
        <v>268</v>
      </c>
      <c r="B111" s="9" t="n">
        <v>3</v>
      </c>
      <c r="C111" s="9" t="s">
        <v>243</v>
      </c>
      <c r="D111" s="9" t="n">
        <v>15</v>
      </c>
      <c r="E111" s="9" t="s">
        <v>140</v>
      </c>
      <c r="F111" s="10" t="s">
        <v>269</v>
      </c>
      <c r="G111" s="11" t="s">
        <v>61</v>
      </c>
      <c r="H111" s="11"/>
      <c r="I111" s="11"/>
    </row>
    <row r="112" customFormat="false" ht="15" hidden="false" customHeight="false" outlineLevel="0" collapsed="false">
      <c r="A112" s="9" t="s">
        <v>270</v>
      </c>
      <c r="B112" s="9" t="n">
        <v>3</v>
      </c>
      <c r="C112" s="9" t="s">
        <v>243</v>
      </c>
      <c r="D112" s="9" t="n">
        <v>15</v>
      </c>
      <c r="E112" s="9" t="s">
        <v>271</v>
      </c>
      <c r="F112" s="10" t="s">
        <v>272</v>
      </c>
      <c r="G112" s="11" t="s">
        <v>61</v>
      </c>
      <c r="H112" s="11"/>
      <c r="I112" s="11"/>
    </row>
    <row r="113" customFormat="false" ht="15" hidden="false" customHeight="false" outlineLevel="0" collapsed="false">
      <c r="A113" s="9" t="s">
        <v>273</v>
      </c>
      <c r="B113" s="9" t="n">
        <v>3</v>
      </c>
      <c r="C113" s="9" t="s">
        <v>243</v>
      </c>
      <c r="D113" s="9" t="n">
        <v>15</v>
      </c>
      <c r="E113" s="9" t="s">
        <v>252</v>
      </c>
      <c r="F113" s="10" t="s">
        <v>201</v>
      </c>
      <c r="G113" s="11" t="s">
        <v>61</v>
      </c>
      <c r="H113" s="11"/>
      <c r="I113" s="11"/>
    </row>
    <row r="114" customFormat="false" ht="15" hidden="false" customHeight="false" outlineLevel="0" collapsed="false">
      <c r="A114" s="9" t="s">
        <v>274</v>
      </c>
      <c r="B114" s="9" t="n">
        <v>3</v>
      </c>
      <c r="C114" s="9" t="s">
        <v>243</v>
      </c>
      <c r="D114" s="9" t="n">
        <v>15</v>
      </c>
      <c r="E114" s="9" t="s">
        <v>157</v>
      </c>
      <c r="F114" s="10" t="s">
        <v>201</v>
      </c>
      <c r="G114" s="11" t="s">
        <v>61</v>
      </c>
      <c r="H114" s="11"/>
      <c r="I114" s="11"/>
    </row>
    <row r="115" customFormat="false" ht="15" hidden="false" customHeight="false" outlineLevel="0" collapsed="false">
      <c r="A115" s="9" t="s">
        <v>275</v>
      </c>
      <c r="B115" s="9" t="n">
        <v>3</v>
      </c>
      <c r="C115" s="9" t="s">
        <v>243</v>
      </c>
      <c r="D115" s="9" t="n">
        <v>15</v>
      </c>
      <c r="E115" s="9" t="s">
        <v>276</v>
      </c>
      <c r="F115" s="10" t="s">
        <v>277</v>
      </c>
      <c r="G115" s="11" t="s">
        <v>61</v>
      </c>
      <c r="H115" s="11"/>
      <c r="I115" s="11"/>
    </row>
    <row r="116" customFormat="false" ht="15" hidden="false" customHeight="false" outlineLevel="0" collapsed="false">
      <c r="A116" s="9" t="s">
        <v>278</v>
      </c>
      <c r="B116" s="9" t="n">
        <v>3</v>
      </c>
      <c r="C116" s="9" t="s">
        <v>243</v>
      </c>
      <c r="D116" s="9" t="n">
        <v>15</v>
      </c>
      <c r="E116" s="9" t="s">
        <v>279</v>
      </c>
      <c r="F116" s="10" t="s">
        <v>99</v>
      </c>
      <c r="G116" s="11" t="s">
        <v>61</v>
      </c>
      <c r="H116" s="11"/>
      <c r="I116" s="11"/>
    </row>
    <row r="117" customFormat="false" ht="15" hidden="false" customHeight="false" outlineLevel="0" collapsed="false">
      <c r="A117" s="9" t="s">
        <v>280</v>
      </c>
      <c r="B117" s="9" t="n">
        <v>3</v>
      </c>
      <c r="C117" s="9" t="s">
        <v>243</v>
      </c>
      <c r="D117" s="9" t="n">
        <v>15</v>
      </c>
      <c r="E117" s="9" t="s">
        <v>281</v>
      </c>
      <c r="F117" s="10" t="s">
        <v>173</v>
      </c>
      <c r="G117" s="11" t="s">
        <v>61</v>
      </c>
      <c r="H117" s="11"/>
      <c r="I117" s="11"/>
    </row>
    <row r="118" customFormat="false" ht="15" hidden="false" customHeight="false" outlineLevel="0" collapsed="false">
      <c r="A118" s="9" t="s">
        <v>282</v>
      </c>
      <c r="B118" s="9" t="n">
        <v>3</v>
      </c>
      <c r="C118" s="9" t="s">
        <v>243</v>
      </c>
      <c r="D118" s="9" t="n">
        <v>15</v>
      </c>
      <c r="E118" s="9" t="s">
        <v>231</v>
      </c>
      <c r="F118" s="10" t="s">
        <v>70</v>
      </c>
      <c r="G118" s="11" t="s">
        <v>61</v>
      </c>
      <c r="H118" s="11"/>
      <c r="I118" s="11"/>
    </row>
    <row r="119" customFormat="false" ht="15" hidden="false" customHeight="false" outlineLevel="0" collapsed="false">
      <c r="A119" s="9" t="s">
        <v>283</v>
      </c>
      <c r="B119" s="9" t="n">
        <v>3</v>
      </c>
      <c r="C119" s="9" t="s">
        <v>243</v>
      </c>
      <c r="D119" s="9" t="n">
        <v>14</v>
      </c>
      <c r="E119" s="9" t="s">
        <v>157</v>
      </c>
      <c r="F119" s="10" t="s">
        <v>99</v>
      </c>
      <c r="G119" s="11" t="s">
        <v>61</v>
      </c>
      <c r="H119" s="11"/>
      <c r="I119" s="11"/>
    </row>
    <row r="120" customFormat="false" ht="15" hidden="false" customHeight="false" outlineLevel="0" collapsed="false">
      <c r="A120" s="9" t="s">
        <v>284</v>
      </c>
      <c r="B120" s="9" t="n">
        <v>3</v>
      </c>
      <c r="C120" s="9" t="s">
        <v>243</v>
      </c>
      <c r="D120" s="9" t="n">
        <v>14</v>
      </c>
      <c r="E120" s="9" t="s">
        <v>69</v>
      </c>
      <c r="F120" s="10" t="s">
        <v>70</v>
      </c>
      <c r="G120" s="11" t="s">
        <v>61</v>
      </c>
      <c r="H120" s="11"/>
      <c r="I120" s="11"/>
    </row>
    <row r="121" customFormat="false" ht="15" hidden="false" customHeight="false" outlineLevel="0" collapsed="false">
      <c r="A121" s="9" t="s">
        <v>285</v>
      </c>
      <c r="B121" s="9" t="n">
        <v>3</v>
      </c>
      <c r="C121" s="9" t="s">
        <v>243</v>
      </c>
      <c r="D121" s="9" t="n">
        <v>13</v>
      </c>
      <c r="E121" s="9" t="s">
        <v>143</v>
      </c>
      <c r="F121" s="10" t="s">
        <v>173</v>
      </c>
      <c r="G121" s="11" t="s">
        <v>61</v>
      </c>
      <c r="H121" s="11"/>
      <c r="I121" s="11"/>
    </row>
    <row r="122" customFormat="false" ht="15" hidden="false" customHeight="false" outlineLevel="0" collapsed="false">
      <c r="A122" s="9" t="s">
        <v>286</v>
      </c>
      <c r="B122" s="9" t="n">
        <v>3</v>
      </c>
      <c r="C122" s="9" t="s">
        <v>243</v>
      </c>
      <c r="D122" s="9" t="n">
        <v>13</v>
      </c>
      <c r="E122" s="9" t="s">
        <v>136</v>
      </c>
      <c r="F122" s="10" t="s">
        <v>287</v>
      </c>
      <c r="G122" s="11" t="s">
        <v>61</v>
      </c>
      <c r="H122" s="11"/>
      <c r="I122" s="11"/>
    </row>
    <row r="123" customFormat="false" ht="15" hidden="false" customHeight="false" outlineLevel="0" collapsed="false">
      <c r="A123" s="9" t="s">
        <v>288</v>
      </c>
      <c r="B123" s="9" t="n">
        <v>3</v>
      </c>
      <c r="C123" s="9" t="s">
        <v>243</v>
      </c>
      <c r="D123" s="9" t="n">
        <v>13</v>
      </c>
      <c r="E123" s="9" t="s">
        <v>143</v>
      </c>
      <c r="F123" s="10" t="s">
        <v>173</v>
      </c>
      <c r="G123" s="11" t="s">
        <v>61</v>
      </c>
      <c r="H123" s="11"/>
      <c r="I123" s="11"/>
    </row>
    <row r="124" customFormat="false" ht="15" hidden="false" customHeight="false" outlineLevel="0" collapsed="false">
      <c r="A124" s="9" t="s">
        <v>289</v>
      </c>
      <c r="B124" s="9" t="n">
        <v>3</v>
      </c>
      <c r="C124" s="9" t="s">
        <v>243</v>
      </c>
      <c r="D124" s="9" t="n">
        <v>13</v>
      </c>
      <c r="E124" s="9" t="s">
        <v>216</v>
      </c>
      <c r="F124" s="10" t="s">
        <v>290</v>
      </c>
      <c r="G124" s="11" t="s">
        <v>61</v>
      </c>
      <c r="H124" s="11"/>
      <c r="I124" s="11"/>
    </row>
    <row r="125" customFormat="false" ht="15" hidden="false" customHeight="false" outlineLevel="0" collapsed="false">
      <c r="A125" s="9" t="s">
        <v>291</v>
      </c>
      <c r="B125" s="9" t="n">
        <v>3</v>
      </c>
      <c r="C125" s="9" t="s">
        <v>243</v>
      </c>
      <c r="D125" s="9" t="n">
        <v>13</v>
      </c>
      <c r="E125" s="9" t="s">
        <v>136</v>
      </c>
      <c r="F125" s="10" t="s">
        <v>292</v>
      </c>
      <c r="G125" s="11" t="s">
        <v>61</v>
      </c>
      <c r="H125" s="11"/>
      <c r="I125" s="11"/>
    </row>
    <row r="126" customFormat="false" ht="15" hidden="false" customHeight="false" outlineLevel="0" collapsed="false">
      <c r="A126" s="9" t="s">
        <v>293</v>
      </c>
      <c r="B126" s="9" t="n">
        <v>3</v>
      </c>
      <c r="C126" s="9" t="s">
        <v>243</v>
      </c>
      <c r="D126" s="9" t="n">
        <v>12</v>
      </c>
      <c r="E126" s="9" t="s">
        <v>157</v>
      </c>
      <c r="F126" s="10" t="s">
        <v>99</v>
      </c>
      <c r="G126" s="11" t="s">
        <v>61</v>
      </c>
      <c r="H126" s="11"/>
      <c r="I126" s="11"/>
    </row>
    <row r="127" customFormat="false" ht="15" hidden="false" customHeight="false" outlineLevel="0" collapsed="false">
      <c r="A127" s="9" t="s">
        <v>294</v>
      </c>
      <c r="B127" s="9" t="n">
        <v>3</v>
      </c>
      <c r="C127" s="9" t="s">
        <v>243</v>
      </c>
      <c r="D127" s="9" t="n">
        <v>12</v>
      </c>
      <c r="E127" s="9" t="s">
        <v>143</v>
      </c>
      <c r="F127" s="10" t="s">
        <v>99</v>
      </c>
      <c r="G127" s="11" t="s">
        <v>61</v>
      </c>
      <c r="H127" s="11"/>
      <c r="I127" s="11"/>
    </row>
    <row r="128" customFormat="false" ht="15" hidden="false" customHeight="false" outlineLevel="0" collapsed="false">
      <c r="A128" s="9" t="s">
        <v>295</v>
      </c>
      <c r="B128" s="9" t="n">
        <v>3</v>
      </c>
      <c r="C128" s="9" t="s">
        <v>243</v>
      </c>
      <c r="D128" s="9" t="n">
        <v>12</v>
      </c>
      <c r="E128" s="9" t="s">
        <v>143</v>
      </c>
      <c r="F128" s="10" t="s">
        <v>173</v>
      </c>
      <c r="G128" s="11" t="s">
        <v>61</v>
      </c>
      <c r="H128" s="11"/>
      <c r="I128" s="11"/>
    </row>
    <row r="129" customFormat="false" ht="15" hidden="false" customHeight="false" outlineLevel="0" collapsed="false">
      <c r="A129" s="9" t="s">
        <v>296</v>
      </c>
      <c r="B129" s="9" t="n">
        <v>3</v>
      </c>
      <c r="C129" s="9" t="s">
        <v>243</v>
      </c>
      <c r="D129" s="9" t="n">
        <v>12</v>
      </c>
      <c r="E129" s="9" t="s">
        <v>297</v>
      </c>
      <c r="F129" s="10" t="s">
        <v>173</v>
      </c>
      <c r="G129" s="11" t="s">
        <v>61</v>
      </c>
      <c r="H129" s="11"/>
      <c r="I129" s="11"/>
    </row>
    <row r="130" customFormat="false" ht="15" hidden="false" customHeight="false" outlineLevel="0" collapsed="false">
      <c r="A130" s="9" t="s">
        <v>298</v>
      </c>
      <c r="B130" s="9" t="n">
        <v>3</v>
      </c>
      <c r="C130" s="9" t="s">
        <v>243</v>
      </c>
      <c r="D130" s="9" t="n">
        <v>12</v>
      </c>
      <c r="E130" s="9" t="s">
        <v>297</v>
      </c>
      <c r="F130" s="10" t="s">
        <v>99</v>
      </c>
      <c r="G130" s="11" t="s">
        <v>61</v>
      </c>
      <c r="H130" s="11"/>
      <c r="I130" s="11"/>
    </row>
    <row r="131" customFormat="false" ht="15" hidden="false" customHeight="false" outlineLevel="0" collapsed="false">
      <c r="A131" s="9" t="s">
        <v>299</v>
      </c>
      <c r="B131" s="9" t="n">
        <v>3</v>
      </c>
      <c r="C131" s="9" t="s">
        <v>243</v>
      </c>
      <c r="D131" s="9" t="n">
        <v>12</v>
      </c>
      <c r="E131" s="9" t="s">
        <v>136</v>
      </c>
      <c r="F131" s="10" t="s">
        <v>164</v>
      </c>
      <c r="G131" s="11" t="s">
        <v>61</v>
      </c>
      <c r="H131" s="11"/>
      <c r="I131" s="11"/>
    </row>
    <row r="132" customFormat="false" ht="15" hidden="false" customHeight="false" outlineLevel="0" collapsed="false">
      <c r="A132" s="9" t="s">
        <v>300</v>
      </c>
      <c r="B132" s="9" t="n">
        <v>3</v>
      </c>
      <c r="C132" s="9" t="s">
        <v>243</v>
      </c>
      <c r="D132" s="9" t="n">
        <v>12</v>
      </c>
      <c r="E132" s="9" t="s">
        <v>301</v>
      </c>
      <c r="F132" s="10" t="s">
        <v>302</v>
      </c>
      <c r="G132" s="11" t="s">
        <v>61</v>
      </c>
      <c r="H132" s="11"/>
      <c r="I132" s="11"/>
    </row>
    <row r="133" customFormat="false" ht="15" hidden="false" customHeight="false" outlineLevel="0" collapsed="false">
      <c r="A133" s="9" t="s">
        <v>303</v>
      </c>
      <c r="B133" s="9" t="n">
        <v>3</v>
      </c>
      <c r="C133" s="9" t="s">
        <v>243</v>
      </c>
      <c r="D133" s="9" t="n">
        <v>10</v>
      </c>
      <c r="E133" s="9" t="s">
        <v>136</v>
      </c>
      <c r="F133" s="10" t="s">
        <v>164</v>
      </c>
      <c r="G133" s="11" t="s">
        <v>61</v>
      </c>
      <c r="H133" s="11"/>
      <c r="I133" s="11"/>
    </row>
    <row r="134" customFormat="false" ht="15" hidden="false" customHeight="false" outlineLevel="0" collapsed="false">
      <c r="A134" s="9" t="s">
        <v>304</v>
      </c>
      <c r="B134" s="9" t="n">
        <v>3</v>
      </c>
      <c r="C134" s="9" t="s">
        <v>243</v>
      </c>
      <c r="D134" s="9" t="n">
        <v>10</v>
      </c>
      <c r="E134" s="9" t="s">
        <v>305</v>
      </c>
      <c r="F134" s="10" t="s">
        <v>306</v>
      </c>
      <c r="G134" s="11" t="s">
        <v>61</v>
      </c>
      <c r="H134" s="11"/>
      <c r="I134" s="11"/>
    </row>
    <row r="135" customFormat="false" ht="15" hidden="false" customHeight="false" outlineLevel="0" collapsed="false">
      <c r="A135" s="9" t="s">
        <v>307</v>
      </c>
      <c r="B135" s="9" t="n">
        <v>4</v>
      </c>
      <c r="C135" s="9" t="s">
        <v>308</v>
      </c>
      <c r="D135" s="9" t="n">
        <v>45</v>
      </c>
      <c r="E135" s="9" t="s">
        <v>279</v>
      </c>
      <c r="F135" s="10" t="s">
        <v>102</v>
      </c>
      <c r="G135" s="11" t="s">
        <v>61</v>
      </c>
      <c r="H135" s="11"/>
      <c r="I135" s="11"/>
    </row>
    <row r="136" customFormat="false" ht="15" hidden="false" customHeight="false" outlineLevel="0" collapsed="false">
      <c r="A136" s="9" t="s">
        <v>309</v>
      </c>
      <c r="B136" s="9" t="n">
        <v>4</v>
      </c>
      <c r="C136" s="9" t="s">
        <v>308</v>
      </c>
      <c r="D136" s="9" t="n">
        <v>40</v>
      </c>
      <c r="E136" s="9" t="s">
        <v>310</v>
      </c>
      <c r="F136" s="10" t="s">
        <v>311</v>
      </c>
      <c r="G136" s="11" t="s">
        <v>61</v>
      </c>
      <c r="H136" s="11"/>
      <c r="I136" s="11"/>
    </row>
    <row r="137" customFormat="false" ht="15" hidden="false" customHeight="false" outlineLevel="0" collapsed="false">
      <c r="A137" s="9" t="s">
        <v>312</v>
      </c>
      <c r="B137" s="9" t="n">
        <v>4</v>
      </c>
      <c r="C137" s="9" t="s">
        <v>308</v>
      </c>
      <c r="D137" s="9" t="n">
        <v>35</v>
      </c>
      <c r="E137" s="9" t="s">
        <v>279</v>
      </c>
      <c r="F137" s="10" t="s">
        <v>102</v>
      </c>
      <c r="G137" s="11" t="s">
        <v>61</v>
      </c>
      <c r="H137" s="11"/>
      <c r="I137" s="11"/>
    </row>
    <row r="138" customFormat="false" ht="15" hidden="false" customHeight="false" outlineLevel="0" collapsed="false">
      <c r="A138" s="9" t="s">
        <v>313</v>
      </c>
      <c r="B138" s="9" t="n">
        <v>4</v>
      </c>
      <c r="C138" s="9" t="s">
        <v>308</v>
      </c>
      <c r="D138" s="9" t="n">
        <v>35</v>
      </c>
      <c r="E138" s="9" t="s">
        <v>314</v>
      </c>
      <c r="F138" s="10" t="s">
        <v>201</v>
      </c>
      <c r="G138" s="11" t="s">
        <v>61</v>
      </c>
      <c r="H138" s="11"/>
      <c r="I138" s="11"/>
    </row>
    <row r="139" customFormat="false" ht="15" hidden="false" customHeight="false" outlineLevel="0" collapsed="false">
      <c r="A139" s="9" t="s">
        <v>315</v>
      </c>
      <c r="B139" s="9" t="n">
        <v>4</v>
      </c>
      <c r="C139" s="9" t="s">
        <v>308</v>
      </c>
      <c r="D139" s="9" t="n">
        <v>32</v>
      </c>
      <c r="E139" s="9" t="s">
        <v>252</v>
      </c>
      <c r="F139" s="10" t="s">
        <v>164</v>
      </c>
      <c r="G139" s="11" t="s">
        <v>61</v>
      </c>
      <c r="H139" s="11"/>
      <c r="I139" s="11"/>
    </row>
    <row r="140" customFormat="false" ht="15" hidden="false" customHeight="false" outlineLevel="0" collapsed="false">
      <c r="A140" s="9" t="s">
        <v>316</v>
      </c>
      <c r="B140" s="9" t="n">
        <v>4</v>
      </c>
      <c r="C140" s="9" t="s">
        <v>308</v>
      </c>
      <c r="D140" s="9" t="n">
        <v>30</v>
      </c>
      <c r="E140" s="9" t="s">
        <v>244</v>
      </c>
      <c r="F140" s="10" t="s">
        <v>201</v>
      </c>
      <c r="G140" s="11" t="s">
        <v>61</v>
      </c>
      <c r="H140" s="11"/>
      <c r="I140" s="11"/>
    </row>
    <row r="141" customFormat="false" ht="15" hidden="false" customHeight="false" outlineLevel="0" collapsed="false">
      <c r="A141" s="9" t="s">
        <v>317</v>
      </c>
      <c r="B141" s="9" t="n">
        <v>4</v>
      </c>
      <c r="C141" s="9" t="s">
        <v>308</v>
      </c>
      <c r="D141" s="9" t="n">
        <v>30</v>
      </c>
      <c r="E141" s="9" t="s">
        <v>318</v>
      </c>
      <c r="F141" s="10" t="s">
        <v>319</v>
      </c>
      <c r="G141" s="11" t="s">
        <v>61</v>
      </c>
      <c r="H141" s="11"/>
      <c r="I141" s="11"/>
    </row>
    <row r="142" customFormat="false" ht="15" hidden="false" customHeight="false" outlineLevel="0" collapsed="false">
      <c r="A142" s="9" t="s">
        <v>320</v>
      </c>
      <c r="B142" s="9" t="n">
        <v>4</v>
      </c>
      <c r="C142" s="9" t="s">
        <v>308</v>
      </c>
      <c r="D142" s="9" t="n">
        <v>30</v>
      </c>
      <c r="E142" s="9" t="s">
        <v>250</v>
      </c>
      <c r="F142" s="10" t="s">
        <v>201</v>
      </c>
      <c r="G142" s="11" t="s">
        <v>61</v>
      </c>
      <c r="H142" s="11"/>
      <c r="I142" s="11"/>
    </row>
    <row r="143" customFormat="false" ht="15" hidden="false" customHeight="false" outlineLevel="0" collapsed="false">
      <c r="A143" s="9" t="s">
        <v>321</v>
      </c>
      <c r="B143" s="9" t="n">
        <v>4</v>
      </c>
      <c r="C143" s="9" t="s">
        <v>308</v>
      </c>
      <c r="D143" s="9" t="n">
        <v>30</v>
      </c>
      <c r="E143" s="9" t="s">
        <v>254</v>
      </c>
      <c r="F143" s="10" t="s">
        <v>201</v>
      </c>
      <c r="G143" s="11" t="s">
        <v>61</v>
      </c>
      <c r="H143" s="11"/>
      <c r="I143" s="11"/>
    </row>
    <row r="144" customFormat="false" ht="15" hidden="false" customHeight="false" outlineLevel="0" collapsed="false">
      <c r="A144" s="9" t="s">
        <v>322</v>
      </c>
      <c r="B144" s="9" t="n">
        <v>4</v>
      </c>
      <c r="C144" s="9" t="s">
        <v>308</v>
      </c>
      <c r="D144" s="9" t="n">
        <v>30</v>
      </c>
      <c r="E144" s="9" t="s">
        <v>323</v>
      </c>
      <c r="F144" s="10" t="s">
        <v>324</v>
      </c>
      <c r="G144" s="11" t="s">
        <v>61</v>
      </c>
      <c r="H144" s="11"/>
      <c r="I144" s="11"/>
    </row>
    <row r="145" customFormat="false" ht="15" hidden="false" customHeight="false" outlineLevel="0" collapsed="false">
      <c r="A145" s="9" t="s">
        <v>325</v>
      </c>
      <c r="B145" s="9" t="n">
        <v>4</v>
      </c>
      <c r="C145" s="9" t="s">
        <v>308</v>
      </c>
      <c r="D145" s="9" t="n">
        <v>30</v>
      </c>
      <c r="E145" s="9" t="s">
        <v>276</v>
      </c>
      <c r="F145" s="10" t="s">
        <v>326</v>
      </c>
      <c r="G145" s="11" t="s">
        <v>61</v>
      </c>
      <c r="H145" s="11"/>
      <c r="I145" s="11"/>
    </row>
    <row r="146" customFormat="false" ht="15" hidden="false" customHeight="false" outlineLevel="0" collapsed="false">
      <c r="A146" s="9" t="s">
        <v>327</v>
      </c>
      <c r="B146" s="9" t="n">
        <v>4</v>
      </c>
      <c r="C146" s="9" t="s">
        <v>308</v>
      </c>
      <c r="D146" s="9" t="n">
        <v>27</v>
      </c>
      <c r="E146" s="9" t="s">
        <v>69</v>
      </c>
      <c r="F146" s="10" t="s">
        <v>70</v>
      </c>
      <c r="G146" s="11" t="s">
        <v>61</v>
      </c>
      <c r="H146" s="11"/>
      <c r="I146" s="11"/>
    </row>
    <row r="147" customFormat="false" ht="15" hidden="false" customHeight="false" outlineLevel="0" collapsed="false">
      <c r="A147" s="9" t="s">
        <v>328</v>
      </c>
      <c r="B147" s="9" t="n">
        <v>4</v>
      </c>
      <c r="C147" s="9" t="s">
        <v>308</v>
      </c>
      <c r="D147" s="9" t="n">
        <v>26</v>
      </c>
      <c r="E147" s="9" t="s">
        <v>157</v>
      </c>
      <c r="F147" s="10" t="s">
        <v>201</v>
      </c>
      <c r="G147" s="11" t="s">
        <v>61</v>
      </c>
      <c r="H147" s="11"/>
      <c r="I147" s="11"/>
    </row>
    <row r="148" customFormat="false" ht="15" hidden="false" customHeight="false" outlineLevel="0" collapsed="false">
      <c r="A148" s="9" t="s">
        <v>329</v>
      </c>
      <c r="B148" s="9" t="n">
        <v>4</v>
      </c>
      <c r="C148" s="9" t="s">
        <v>308</v>
      </c>
      <c r="D148" s="9" t="n">
        <v>25</v>
      </c>
      <c r="E148" s="9" t="s">
        <v>157</v>
      </c>
      <c r="F148" s="10" t="s">
        <v>330</v>
      </c>
      <c r="G148" s="11" t="s">
        <v>61</v>
      </c>
      <c r="H148" s="11"/>
      <c r="I148" s="11"/>
    </row>
    <row r="149" customFormat="false" ht="15" hidden="false" customHeight="false" outlineLevel="0" collapsed="false">
      <c r="A149" s="9" t="s">
        <v>331</v>
      </c>
      <c r="B149" s="9" t="n">
        <v>4</v>
      </c>
      <c r="C149" s="9" t="s">
        <v>308</v>
      </c>
      <c r="D149" s="9" t="n">
        <v>25</v>
      </c>
      <c r="E149" s="9" t="s">
        <v>281</v>
      </c>
      <c r="F149" s="10" t="s">
        <v>173</v>
      </c>
      <c r="G149" s="11" t="s">
        <v>61</v>
      </c>
      <c r="H149" s="11"/>
      <c r="I149" s="11"/>
    </row>
    <row r="150" customFormat="false" ht="15" hidden="false" customHeight="false" outlineLevel="0" collapsed="false">
      <c r="A150" s="9" t="s">
        <v>332</v>
      </c>
      <c r="B150" s="9" t="n">
        <v>5</v>
      </c>
      <c r="C150" s="9" t="s">
        <v>333</v>
      </c>
      <c r="D150" s="9" t="n">
        <v>60</v>
      </c>
      <c r="E150" s="9" t="s">
        <v>314</v>
      </c>
      <c r="F150" s="10" t="s">
        <v>164</v>
      </c>
      <c r="G150" s="11" t="s">
        <v>61</v>
      </c>
      <c r="H150" s="11"/>
      <c r="I150" s="11"/>
    </row>
    <row r="151" customFormat="false" ht="15" hidden="false" customHeight="false" outlineLevel="0" collapsed="false">
      <c r="A151" s="9" t="s">
        <v>334</v>
      </c>
      <c r="B151" s="9" t="n">
        <v>5</v>
      </c>
      <c r="C151" s="9" t="s">
        <v>333</v>
      </c>
      <c r="D151" s="9" t="n">
        <v>55</v>
      </c>
      <c r="E151" s="9" t="s">
        <v>335</v>
      </c>
      <c r="F151" s="10" t="s">
        <v>336</v>
      </c>
      <c r="G151" s="11" t="s">
        <v>61</v>
      </c>
      <c r="H151" s="11"/>
      <c r="I151" s="11"/>
    </row>
    <row r="152" customFormat="false" ht="15" hidden="false" customHeight="false" outlineLevel="0" collapsed="false">
      <c r="A152" s="9" t="s">
        <v>337</v>
      </c>
      <c r="B152" s="9" t="n">
        <v>5</v>
      </c>
      <c r="C152" s="9" t="s">
        <v>333</v>
      </c>
      <c r="D152" s="9" t="n">
        <v>55</v>
      </c>
      <c r="E152" s="9" t="s">
        <v>314</v>
      </c>
      <c r="F152" s="10" t="s">
        <v>201</v>
      </c>
      <c r="G152" s="11" t="s">
        <v>61</v>
      </c>
      <c r="H152" s="11"/>
      <c r="I152" s="11"/>
    </row>
    <row r="153" customFormat="false" ht="15" hidden="false" customHeight="false" outlineLevel="0" collapsed="false">
      <c r="A153" s="9" t="s">
        <v>338</v>
      </c>
      <c r="B153" s="9" t="n">
        <v>5</v>
      </c>
      <c r="C153" s="9" t="s">
        <v>333</v>
      </c>
      <c r="D153" s="9" t="n">
        <v>50</v>
      </c>
      <c r="E153" s="9" t="s">
        <v>279</v>
      </c>
      <c r="F153" s="10" t="s">
        <v>102</v>
      </c>
      <c r="G153" s="11" t="s">
        <v>61</v>
      </c>
      <c r="H153" s="11"/>
      <c r="I153" s="11"/>
    </row>
    <row r="154" customFormat="false" ht="15" hidden="false" customHeight="false" outlineLevel="0" collapsed="false">
      <c r="A154" s="9" t="s">
        <v>339</v>
      </c>
      <c r="B154" s="9" t="n">
        <v>5</v>
      </c>
      <c r="C154" s="9" t="s">
        <v>333</v>
      </c>
      <c r="D154" s="9" t="n">
        <v>50</v>
      </c>
      <c r="E154" s="9" t="s">
        <v>314</v>
      </c>
      <c r="F154" s="10" t="s">
        <v>201</v>
      </c>
      <c r="G154" s="11" t="s">
        <v>61</v>
      </c>
      <c r="H154" s="11"/>
      <c r="I154" s="11"/>
    </row>
    <row r="155" customFormat="false" ht="15" hidden="false" customHeight="false" outlineLevel="0" collapsed="false">
      <c r="A155" s="9" t="s">
        <v>340</v>
      </c>
      <c r="B155" s="9" t="n">
        <v>5</v>
      </c>
      <c r="C155" s="9" t="s">
        <v>333</v>
      </c>
      <c r="D155" s="9" t="n">
        <v>50</v>
      </c>
      <c r="E155" s="9" t="s">
        <v>341</v>
      </c>
      <c r="F155" s="10" t="s">
        <v>342</v>
      </c>
      <c r="G155" s="11" t="s">
        <v>61</v>
      </c>
      <c r="H155" s="11"/>
      <c r="I155" s="11"/>
    </row>
    <row r="156" customFormat="false" ht="15" hidden="false" customHeight="false" outlineLevel="0" collapsed="false">
      <c r="A156" s="9" t="s">
        <v>343</v>
      </c>
      <c r="B156" s="9" t="n">
        <v>5</v>
      </c>
      <c r="C156" s="9" t="s">
        <v>333</v>
      </c>
      <c r="D156" s="9" t="n">
        <v>46</v>
      </c>
      <c r="E156" s="9" t="s">
        <v>279</v>
      </c>
      <c r="F156" s="10" t="s">
        <v>102</v>
      </c>
      <c r="G156" s="11" t="s">
        <v>61</v>
      </c>
      <c r="H156" s="11"/>
      <c r="I156" s="11"/>
    </row>
    <row r="158" customFormat="false" ht="15" hidden="false" customHeight="false" outlineLevel="0" collapsed="false">
      <c r="A158" s="12" t="s">
        <v>344</v>
      </c>
    </row>
  </sheetData>
  <autoFilter ref="A4:I156"/>
  <conditionalFormatting sqref="G6:G156">
    <cfRule type="cellIs" priority="2" operator="equal" aboveAverage="0" equalAverage="0" bottom="0" percent="0" rank="0" text="" dxfId="6">
      <formula>"Zerado"</formula>
    </cfRule>
    <cfRule type="cellIs" priority="3" operator="equal" aboveAverage="0" equalAverage="0" bottom="0" percent="0" rank="0" text="" dxfId="7">
      <formula>"Jogando"</formula>
    </cfRule>
    <cfRule type="cellIs" priority="4" operator="equal" aboveAverage="0" equalAverage="0" bottom="0" percent="0" rank="0" text="" dxfId="8">
      <formula>"Abandonado"</formula>
    </cfRule>
  </conditionalFormatting>
  <dataValidations count="1">
    <dataValidation allowBlank="true" error="Escolha um dos status da lista." errorStyle="stop" operator="between" showDropDown="false" showErrorMessage="false" showInputMessage="false" sqref="G5:G156" type="list">
      <formula1>"Nao iniciado,Jogando,Zerado,Abandonado"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42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345</v>
      </c>
    </row>
    <row r="2" customFormat="false" ht="15" hidden="false" customHeight="false" outlineLevel="0" collapsed="false">
      <c r="A2" s="4" t="s">
        <v>346</v>
      </c>
    </row>
    <row r="4" customFormat="false" ht="26.85" hidden="false" customHeight="false" outlineLevel="0" collapsed="false">
      <c r="A4" s="5" t="s">
        <v>347</v>
      </c>
      <c r="B4" s="5" t="s">
        <v>348</v>
      </c>
      <c r="C4" s="5" t="s">
        <v>349</v>
      </c>
      <c r="D4" s="5" t="s">
        <v>43</v>
      </c>
      <c r="E4" s="5" t="s">
        <v>44</v>
      </c>
      <c r="F4" s="5" t="s">
        <v>46</v>
      </c>
      <c r="G4" s="5" t="s">
        <v>49</v>
      </c>
      <c r="H4" s="5" t="s">
        <v>350</v>
      </c>
    </row>
    <row r="5" customFormat="false" ht="15" hidden="false" customHeight="true" outlineLevel="0" collapsed="false">
      <c r="A5" s="13" t="n">
        <v>1</v>
      </c>
      <c r="B5" s="14" t="s">
        <v>351</v>
      </c>
      <c r="C5" s="15"/>
      <c r="D5" s="9" t="s">
        <v>135</v>
      </c>
      <c r="E5" s="9" t="n">
        <f aca="false">INDEX(Catalogo!$B$6:$B$156,MATCH($D5,Catalogo!$A$6:$A$156,0))</f>
        <v>1</v>
      </c>
      <c r="F5" s="9" t="n">
        <f aca="false">INDEX(Catalogo!$D$6:$D$156,MATCH($D5,Catalogo!$A$6:$A$156,0))</f>
        <v>1</v>
      </c>
      <c r="G5" s="9" t="str">
        <f aca="false">INDEX(Catalogo!$G$6:$G$156,MATCH($D5,Catalogo!$A$6:$A$156,0))</f>
        <v>Nao iniciado</v>
      </c>
      <c r="H5" s="16" t="n">
        <f aca="false">SUM(F5:F6)</f>
        <v>3</v>
      </c>
    </row>
    <row r="6" customFormat="false" ht="15" hidden="false" customHeight="false" outlineLevel="0" collapsed="false">
      <c r="A6" s="13"/>
      <c r="B6" s="13"/>
      <c r="C6" s="13"/>
      <c r="D6" s="9" t="s">
        <v>124</v>
      </c>
      <c r="E6" s="9" t="n">
        <f aca="false">INDEX(Catalogo!$B$6:$B$156,MATCH($D6,Catalogo!$A$6:$A$156,0))</f>
        <v>1</v>
      </c>
      <c r="F6" s="9" t="n">
        <f aca="false">INDEX(Catalogo!$D$6:$D$156,MATCH($D6,Catalogo!$A$6:$A$156,0))</f>
        <v>2</v>
      </c>
      <c r="G6" s="9" t="str">
        <f aca="false">INDEX(Catalogo!$G$6:$G$156,MATCH($D6,Catalogo!$A$6:$A$156,0))</f>
        <v>Nao iniciado</v>
      </c>
      <c r="H6" s="16"/>
    </row>
    <row r="7" customFormat="false" ht="15" hidden="false" customHeight="true" outlineLevel="0" collapsed="false">
      <c r="A7" s="17" t="n">
        <v>2</v>
      </c>
      <c r="B7" s="18" t="s">
        <v>351</v>
      </c>
      <c r="C7" s="15"/>
      <c r="D7" s="19" t="s">
        <v>126</v>
      </c>
      <c r="E7" s="19" t="n">
        <f aca="false">INDEX(Catalogo!$B$6:$B$156,MATCH($D7,Catalogo!$A$6:$A$156,0))</f>
        <v>1</v>
      </c>
      <c r="F7" s="19" t="n">
        <f aca="false">INDEX(Catalogo!$D$6:$D$156,MATCH($D7,Catalogo!$A$6:$A$156,0))</f>
        <v>2</v>
      </c>
      <c r="G7" s="19" t="str">
        <f aca="false">INDEX(Catalogo!$G$6:$G$156,MATCH($D7,Catalogo!$A$6:$A$156,0))</f>
        <v>Nao iniciado</v>
      </c>
      <c r="H7" s="20" t="n">
        <f aca="false">SUM(F7:F8)</f>
        <v>4</v>
      </c>
    </row>
    <row r="8" customFormat="false" ht="15" hidden="false" customHeight="false" outlineLevel="0" collapsed="false">
      <c r="A8" s="17"/>
      <c r="B8" s="17"/>
      <c r="C8" s="17"/>
      <c r="D8" s="19" t="s">
        <v>128</v>
      </c>
      <c r="E8" s="19" t="n">
        <f aca="false">INDEX(Catalogo!$B$6:$B$156,MATCH($D8,Catalogo!$A$6:$A$156,0))</f>
        <v>1</v>
      </c>
      <c r="F8" s="19" t="n">
        <f aca="false">INDEX(Catalogo!$D$6:$D$156,MATCH($D8,Catalogo!$A$6:$A$156,0))</f>
        <v>2</v>
      </c>
      <c r="G8" s="19" t="str">
        <f aca="false">INDEX(Catalogo!$G$6:$G$156,MATCH($D8,Catalogo!$A$6:$A$156,0))</f>
        <v>Nao iniciado</v>
      </c>
      <c r="H8" s="20"/>
    </row>
    <row r="9" customFormat="false" ht="15" hidden="false" customHeight="true" outlineLevel="0" collapsed="false">
      <c r="A9" s="13" t="n">
        <v>3</v>
      </c>
      <c r="B9" s="14" t="s">
        <v>351</v>
      </c>
      <c r="C9" s="15"/>
      <c r="D9" s="9" t="s">
        <v>130</v>
      </c>
      <c r="E9" s="9" t="n">
        <f aca="false">INDEX(Catalogo!$B$6:$B$156,MATCH($D9,Catalogo!$A$6:$A$156,0))</f>
        <v>1</v>
      </c>
      <c r="F9" s="9" t="n">
        <f aca="false">INDEX(Catalogo!$D$6:$D$156,MATCH($D9,Catalogo!$A$6:$A$156,0))</f>
        <v>2</v>
      </c>
      <c r="G9" s="9" t="str">
        <f aca="false">INDEX(Catalogo!$G$6:$G$156,MATCH($D9,Catalogo!$A$6:$A$156,0))</f>
        <v>Nao iniciado</v>
      </c>
      <c r="H9" s="16" t="n">
        <f aca="false">SUM(F9:F10)</f>
        <v>4</v>
      </c>
    </row>
    <row r="10" customFormat="false" ht="15" hidden="false" customHeight="false" outlineLevel="0" collapsed="false">
      <c r="A10" s="13"/>
      <c r="B10" s="13"/>
      <c r="C10" s="13"/>
      <c r="D10" s="9" t="s">
        <v>132</v>
      </c>
      <c r="E10" s="9" t="n">
        <f aca="false">INDEX(Catalogo!$B$6:$B$156,MATCH($D10,Catalogo!$A$6:$A$156,0))</f>
        <v>1</v>
      </c>
      <c r="F10" s="9" t="n">
        <f aca="false">INDEX(Catalogo!$D$6:$D$156,MATCH($D10,Catalogo!$A$6:$A$156,0))</f>
        <v>2</v>
      </c>
      <c r="G10" s="9" t="str">
        <f aca="false">INDEX(Catalogo!$G$6:$G$156,MATCH($D10,Catalogo!$A$6:$A$156,0))</f>
        <v>Nao iniciado</v>
      </c>
      <c r="H10" s="16"/>
    </row>
    <row r="11" customFormat="false" ht="15" hidden="false" customHeight="true" outlineLevel="0" collapsed="false">
      <c r="A11" s="17" t="n">
        <v>4</v>
      </c>
      <c r="B11" s="18" t="s">
        <v>351</v>
      </c>
      <c r="C11" s="15"/>
      <c r="D11" s="19" t="s">
        <v>113</v>
      </c>
      <c r="E11" s="19" t="n">
        <f aca="false">INDEX(Catalogo!$B$6:$B$156,MATCH($D11,Catalogo!$A$6:$A$156,0))</f>
        <v>1</v>
      </c>
      <c r="F11" s="19" t="n">
        <f aca="false">INDEX(Catalogo!$D$6:$D$156,MATCH($D11,Catalogo!$A$6:$A$156,0))</f>
        <v>3</v>
      </c>
      <c r="G11" s="19" t="str">
        <f aca="false">INDEX(Catalogo!$G$6:$G$156,MATCH($D11,Catalogo!$A$6:$A$156,0))</f>
        <v>Nao iniciado</v>
      </c>
      <c r="H11" s="20" t="n">
        <f aca="false">SUM(F11:F12)</f>
        <v>6</v>
      </c>
    </row>
    <row r="12" customFormat="false" ht="15" hidden="false" customHeight="false" outlineLevel="0" collapsed="false">
      <c r="A12" s="17"/>
      <c r="B12" s="17"/>
      <c r="C12" s="17"/>
      <c r="D12" s="19" t="s">
        <v>115</v>
      </c>
      <c r="E12" s="19" t="n">
        <f aca="false">INDEX(Catalogo!$B$6:$B$156,MATCH($D12,Catalogo!$A$6:$A$156,0))</f>
        <v>1</v>
      </c>
      <c r="F12" s="19" t="n">
        <f aca="false">INDEX(Catalogo!$D$6:$D$156,MATCH($D12,Catalogo!$A$6:$A$156,0))</f>
        <v>3</v>
      </c>
      <c r="G12" s="19" t="str">
        <f aca="false">INDEX(Catalogo!$G$6:$G$156,MATCH($D12,Catalogo!$A$6:$A$156,0))</f>
        <v>Nao iniciado</v>
      </c>
      <c r="H12" s="20"/>
    </row>
    <row r="13" customFormat="false" ht="15" hidden="false" customHeight="true" outlineLevel="0" collapsed="false">
      <c r="A13" s="13" t="n">
        <v>5</v>
      </c>
      <c r="B13" s="14" t="s">
        <v>351</v>
      </c>
      <c r="C13" s="15"/>
      <c r="D13" s="9" t="s">
        <v>118</v>
      </c>
      <c r="E13" s="9" t="n">
        <f aca="false">INDEX(Catalogo!$B$6:$B$156,MATCH($D13,Catalogo!$A$6:$A$156,0))</f>
        <v>1</v>
      </c>
      <c r="F13" s="9" t="n">
        <f aca="false">INDEX(Catalogo!$D$6:$D$156,MATCH($D13,Catalogo!$A$6:$A$156,0))</f>
        <v>3</v>
      </c>
      <c r="G13" s="9" t="str">
        <f aca="false">INDEX(Catalogo!$G$6:$G$156,MATCH($D13,Catalogo!$A$6:$A$156,0))</f>
        <v>Nao iniciado</v>
      </c>
      <c r="H13" s="16" t="n">
        <f aca="false">SUM(F13:F14)</f>
        <v>6</v>
      </c>
    </row>
    <row r="14" customFormat="false" ht="15" hidden="false" customHeight="false" outlineLevel="0" collapsed="false">
      <c r="A14" s="13"/>
      <c r="B14" s="13"/>
      <c r="C14" s="13"/>
      <c r="D14" s="9" t="s">
        <v>120</v>
      </c>
      <c r="E14" s="9" t="n">
        <f aca="false">INDEX(Catalogo!$B$6:$B$156,MATCH($D14,Catalogo!$A$6:$A$156,0))</f>
        <v>1</v>
      </c>
      <c r="F14" s="9" t="n">
        <f aca="false">INDEX(Catalogo!$D$6:$D$156,MATCH($D14,Catalogo!$A$6:$A$156,0))</f>
        <v>3</v>
      </c>
      <c r="G14" s="9" t="str">
        <f aca="false">INDEX(Catalogo!$G$6:$G$156,MATCH($D14,Catalogo!$A$6:$A$156,0))</f>
        <v>Nao iniciado</v>
      </c>
      <c r="H14" s="16"/>
    </row>
    <row r="15" customFormat="false" ht="15" hidden="false" customHeight="true" outlineLevel="0" collapsed="false">
      <c r="A15" s="17" t="n">
        <v>6</v>
      </c>
      <c r="B15" s="18" t="s">
        <v>351</v>
      </c>
      <c r="C15" s="15"/>
      <c r="D15" s="19" t="s">
        <v>123</v>
      </c>
      <c r="E15" s="19" t="n">
        <f aca="false">INDEX(Catalogo!$B$6:$B$156,MATCH($D15,Catalogo!$A$6:$A$156,0))</f>
        <v>1</v>
      </c>
      <c r="F15" s="19" t="n">
        <f aca="false">INDEX(Catalogo!$D$6:$D$156,MATCH($D15,Catalogo!$A$6:$A$156,0))</f>
        <v>3</v>
      </c>
      <c r="G15" s="19" t="str">
        <f aca="false">INDEX(Catalogo!$G$6:$G$156,MATCH($D15,Catalogo!$A$6:$A$156,0))</f>
        <v>Nao iniciado</v>
      </c>
      <c r="H15" s="20" t="n">
        <f aca="false">SUM(F15:F16)</f>
        <v>7</v>
      </c>
    </row>
    <row r="16" customFormat="false" ht="15" hidden="false" customHeight="false" outlineLevel="0" collapsed="false">
      <c r="A16" s="17"/>
      <c r="B16" s="17"/>
      <c r="C16" s="17"/>
      <c r="D16" s="19" t="s">
        <v>85</v>
      </c>
      <c r="E16" s="19" t="n">
        <f aca="false">INDEX(Catalogo!$B$6:$B$156,MATCH($D16,Catalogo!$A$6:$A$156,0))</f>
        <v>1</v>
      </c>
      <c r="F16" s="19" t="n">
        <f aca="false">INDEX(Catalogo!$D$6:$D$156,MATCH($D16,Catalogo!$A$6:$A$156,0))</f>
        <v>4</v>
      </c>
      <c r="G16" s="19" t="str">
        <f aca="false">INDEX(Catalogo!$G$6:$G$156,MATCH($D16,Catalogo!$A$6:$A$156,0))</f>
        <v>Nao iniciado</v>
      </c>
      <c r="H16" s="20"/>
    </row>
    <row r="17" customFormat="false" ht="15" hidden="false" customHeight="true" outlineLevel="0" collapsed="false">
      <c r="A17" s="13" t="n">
        <v>7</v>
      </c>
      <c r="B17" s="14" t="s">
        <v>351</v>
      </c>
      <c r="C17" s="15"/>
      <c r="D17" s="9" t="s">
        <v>88</v>
      </c>
      <c r="E17" s="9" t="n">
        <f aca="false">INDEX(Catalogo!$B$6:$B$156,MATCH($D17,Catalogo!$A$6:$A$156,0))</f>
        <v>1</v>
      </c>
      <c r="F17" s="9" t="n">
        <f aca="false">INDEX(Catalogo!$D$6:$D$156,MATCH($D17,Catalogo!$A$6:$A$156,0))</f>
        <v>4</v>
      </c>
      <c r="G17" s="9" t="str">
        <f aca="false">INDEX(Catalogo!$G$6:$G$156,MATCH($D17,Catalogo!$A$6:$A$156,0))</f>
        <v>Nao iniciado</v>
      </c>
      <c r="H17" s="16" t="n">
        <f aca="false">SUM(F17:F18)</f>
        <v>8</v>
      </c>
    </row>
    <row r="18" customFormat="false" ht="15" hidden="false" customHeight="false" outlineLevel="0" collapsed="false">
      <c r="A18" s="13"/>
      <c r="B18" s="13"/>
      <c r="C18" s="13"/>
      <c r="D18" s="9" t="s">
        <v>90</v>
      </c>
      <c r="E18" s="9" t="n">
        <f aca="false">INDEX(Catalogo!$B$6:$B$156,MATCH($D18,Catalogo!$A$6:$A$156,0))</f>
        <v>1</v>
      </c>
      <c r="F18" s="9" t="n">
        <f aca="false">INDEX(Catalogo!$D$6:$D$156,MATCH($D18,Catalogo!$A$6:$A$156,0))</f>
        <v>4</v>
      </c>
      <c r="G18" s="9" t="str">
        <f aca="false">INDEX(Catalogo!$G$6:$G$156,MATCH($D18,Catalogo!$A$6:$A$156,0))</f>
        <v>Nao iniciado</v>
      </c>
      <c r="H18" s="16"/>
    </row>
    <row r="19" customFormat="false" ht="15" hidden="false" customHeight="true" outlineLevel="0" collapsed="false">
      <c r="A19" s="17" t="n">
        <v>8</v>
      </c>
      <c r="B19" s="18" t="s">
        <v>351</v>
      </c>
      <c r="C19" s="15"/>
      <c r="D19" s="19" t="s">
        <v>92</v>
      </c>
      <c r="E19" s="19" t="n">
        <f aca="false">INDEX(Catalogo!$B$6:$B$156,MATCH($D19,Catalogo!$A$6:$A$156,0))</f>
        <v>1</v>
      </c>
      <c r="F19" s="19" t="n">
        <f aca="false">INDEX(Catalogo!$D$6:$D$156,MATCH($D19,Catalogo!$A$6:$A$156,0))</f>
        <v>4</v>
      </c>
      <c r="G19" s="19" t="str">
        <f aca="false">INDEX(Catalogo!$G$6:$G$156,MATCH($D19,Catalogo!$A$6:$A$156,0))</f>
        <v>Nao iniciado</v>
      </c>
      <c r="H19" s="20" t="n">
        <f aca="false">SUM(F19:F20)</f>
        <v>8</v>
      </c>
    </row>
    <row r="20" customFormat="false" ht="15" hidden="false" customHeight="false" outlineLevel="0" collapsed="false">
      <c r="A20" s="17"/>
      <c r="B20" s="17"/>
      <c r="C20" s="17"/>
      <c r="D20" s="19" t="s">
        <v>93</v>
      </c>
      <c r="E20" s="19" t="n">
        <f aca="false">INDEX(Catalogo!$B$6:$B$156,MATCH($D20,Catalogo!$A$6:$A$156,0))</f>
        <v>1</v>
      </c>
      <c r="F20" s="19" t="n">
        <f aca="false">INDEX(Catalogo!$D$6:$D$156,MATCH($D20,Catalogo!$A$6:$A$156,0))</f>
        <v>4</v>
      </c>
      <c r="G20" s="19" t="str">
        <f aca="false">INDEX(Catalogo!$G$6:$G$156,MATCH($D20,Catalogo!$A$6:$A$156,0))</f>
        <v>Nao iniciado</v>
      </c>
      <c r="H20" s="20"/>
    </row>
    <row r="21" customFormat="false" ht="15" hidden="false" customHeight="true" outlineLevel="0" collapsed="false">
      <c r="A21" s="13" t="n">
        <v>9</v>
      </c>
      <c r="B21" s="14" t="s">
        <v>351</v>
      </c>
      <c r="C21" s="15"/>
      <c r="D21" s="9" t="s">
        <v>96</v>
      </c>
      <c r="E21" s="9" t="n">
        <f aca="false">INDEX(Catalogo!$B$6:$B$156,MATCH($D21,Catalogo!$A$6:$A$156,0))</f>
        <v>1</v>
      </c>
      <c r="F21" s="9" t="n">
        <f aca="false">INDEX(Catalogo!$D$6:$D$156,MATCH($D21,Catalogo!$A$6:$A$156,0))</f>
        <v>4</v>
      </c>
      <c r="G21" s="9" t="str">
        <f aca="false">INDEX(Catalogo!$G$6:$G$156,MATCH($D21,Catalogo!$A$6:$A$156,0))</f>
        <v>Nao iniciado</v>
      </c>
      <c r="H21" s="16" t="n">
        <f aca="false">SUM(F21:F22)</f>
        <v>8</v>
      </c>
    </row>
    <row r="22" customFormat="false" ht="15" hidden="false" customHeight="false" outlineLevel="0" collapsed="false">
      <c r="A22" s="13"/>
      <c r="B22" s="13"/>
      <c r="C22" s="13"/>
      <c r="D22" s="9" t="s">
        <v>97</v>
      </c>
      <c r="E22" s="9" t="n">
        <f aca="false">INDEX(Catalogo!$B$6:$B$156,MATCH($D22,Catalogo!$A$6:$A$156,0))</f>
        <v>1</v>
      </c>
      <c r="F22" s="9" t="n">
        <f aca="false">INDEX(Catalogo!$D$6:$D$156,MATCH($D22,Catalogo!$A$6:$A$156,0))</f>
        <v>4</v>
      </c>
      <c r="G22" s="9" t="str">
        <f aca="false">INDEX(Catalogo!$G$6:$G$156,MATCH($D22,Catalogo!$A$6:$A$156,0))</f>
        <v>Nao iniciado</v>
      </c>
      <c r="H22" s="16"/>
    </row>
    <row r="23" customFormat="false" ht="15" hidden="false" customHeight="true" outlineLevel="0" collapsed="false">
      <c r="A23" s="17" t="n">
        <v>10</v>
      </c>
      <c r="B23" s="18" t="s">
        <v>351</v>
      </c>
      <c r="C23" s="15"/>
      <c r="D23" s="19" t="s">
        <v>100</v>
      </c>
      <c r="E23" s="19" t="n">
        <f aca="false">INDEX(Catalogo!$B$6:$B$156,MATCH($D23,Catalogo!$A$6:$A$156,0))</f>
        <v>1</v>
      </c>
      <c r="F23" s="19" t="n">
        <f aca="false">INDEX(Catalogo!$D$6:$D$156,MATCH($D23,Catalogo!$A$6:$A$156,0))</f>
        <v>4</v>
      </c>
      <c r="G23" s="19" t="str">
        <f aca="false">INDEX(Catalogo!$G$6:$G$156,MATCH($D23,Catalogo!$A$6:$A$156,0))</f>
        <v>Nao iniciado</v>
      </c>
      <c r="H23" s="20" t="n">
        <f aca="false">SUM(F23:F24)</f>
        <v>8</v>
      </c>
    </row>
    <row r="24" customFormat="false" ht="15" hidden="false" customHeight="false" outlineLevel="0" collapsed="false">
      <c r="A24" s="17"/>
      <c r="B24" s="17"/>
      <c r="C24" s="17"/>
      <c r="D24" s="19" t="s">
        <v>103</v>
      </c>
      <c r="E24" s="19" t="n">
        <f aca="false">INDEX(Catalogo!$B$6:$B$156,MATCH($D24,Catalogo!$A$6:$A$156,0))</f>
        <v>1</v>
      </c>
      <c r="F24" s="19" t="n">
        <f aca="false">INDEX(Catalogo!$D$6:$D$156,MATCH($D24,Catalogo!$A$6:$A$156,0))</f>
        <v>4</v>
      </c>
      <c r="G24" s="19" t="str">
        <f aca="false">INDEX(Catalogo!$G$6:$G$156,MATCH($D24,Catalogo!$A$6:$A$156,0))</f>
        <v>Nao iniciado</v>
      </c>
      <c r="H24" s="20"/>
    </row>
    <row r="25" customFormat="false" ht="15" hidden="false" customHeight="true" outlineLevel="0" collapsed="false">
      <c r="A25" s="13" t="n">
        <v>11</v>
      </c>
      <c r="B25" s="14" t="s">
        <v>351</v>
      </c>
      <c r="C25" s="15"/>
      <c r="D25" s="9" t="s">
        <v>105</v>
      </c>
      <c r="E25" s="9" t="n">
        <f aca="false">INDEX(Catalogo!$B$6:$B$156,MATCH($D25,Catalogo!$A$6:$A$156,0))</f>
        <v>1</v>
      </c>
      <c r="F25" s="9" t="n">
        <f aca="false">INDEX(Catalogo!$D$6:$D$156,MATCH($D25,Catalogo!$A$6:$A$156,0))</f>
        <v>4</v>
      </c>
      <c r="G25" s="9" t="str">
        <f aca="false">INDEX(Catalogo!$G$6:$G$156,MATCH($D25,Catalogo!$A$6:$A$156,0))</f>
        <v>Nao iniciado</v>
      </c>
      <c r="H25" s="16" t="n">
        <f aca="false">SUM(F25:F26)</f>
        <v>8</v>
      </c>
    </row>
    <row r="26" customFormat="false" ht="15" hidden="false" customHeight="false" outlineLevel="0" collapsed="false">
      <c r="A26" s="13"/>
      <c r="B26" s="13"/>
      <c r="C26" s="13"/>
      <c r="D26" s="9" t="s">
        <v>108</v>
      </c>
      <c r="E26" s="9" t="n">
        <f aca="false">INDEX(Catalogo!$B$6:$B$156,MATCH($D26,Catalogo!$A$6:$A$156,0))</f>
        <v>1</v>
      </c>
      <c r="F26" s="9" t="n">
        <f aca="false">INDEX(Catalogo!$D$6:$D$156,MATCH($D26,Catalogo!$A$6:$A$156,0))</f>
        <v>4</v>
      </c>
      <c r="G26" s="9" t="str">
        <f aca="false">INDEX(Catalogo!$G$6:$G$156,MATCH($D26,Catalogo!$A$6:$A$156,0))</f>
        <v>Nao iniciado</v>
      </c>
      <c r="H26" s="16"/>
    </row>
    <row r="27" customFormat="false" ht="15" hidden="false" customHeight="true" outlineLevel="0" collapsed="false">
      <c r="A27" s="17" t="n">
        <v>12</v>
      </c>
      <c r="B27" s="18" t="s">
        <v>351</v>
      </c>
      <c r="C27" s="15"/>
      <c r="D27" s="19" t="s">
        <v>110</v>
      </c>
      <c r="E27" s="19" t="n">
        <f aca="false">INDEX(Catalogo!$B$6:$B$156,MATCH($D27,Catalogo!$A$6:$A$156,0))</f>
        <v>1</v>
      </c>
      <c r="F27" s="19" t="n">
        <f aca="false">INDEX(Catalogo!$D$6:$D$156,MATCH($D27,Catalogo!$A$6:$A$156,0))</f>
        <v>4</v>
      </c>
      <c r="G27" s="19" t="str">
        <f aca="false">INDEX(Catalogo!$G$6:$G$156,MATCH($D27,Catalogo!$A$6:$A$156,0))</f>
        <v>Nao iniciado</v>
      </c>
      <c r="H27" s="20" t="n">
        <f aca="false">SUM(F27:F28)</f>
        <v>8</v>
      </c>
    </row>
    <row r="28" customFormat="false" ht="15" hidden="false" customHeight="false" outlineLevel="0" collapsed="false">
      <c r="A28" s="17"/>
      <c r="B28" s="17"/>
      <c r="C28" s="17"/>
      <c r="D28" s="19" t="s">
        <v>111</v>
      </c>
      <c r="E28" s="19" t="n">
        <f aca="false">INDEX(Catalogo!$B$6:$B$156,MATCH($D28,Catalogo!$A$6:$A$156,0))</f>
        <v>1</v>
      </c>
      <c r="F28" s="19" t="n">
        <f aca="false">INDEX(Catalogo!$D$6:$D$156,MATCH($D28,Catalogo!$A$6:$A$156,0))</f>
        <v>4</v>
      </c>
      <c r="G28" s="19" t="str">
        <f aca="false">INDEX(Catalogo!$G$6:$G$156,MATCH($D28,Catalogo!$A$6:$A$156,0))</f>
        <v>Nao iniciado</v>
      </c>
      <c r="H28" s="20"/>
    </row>
    <row r="29" customFormat="false" ht="15" hidden="false" customHeight="true" outlineLevel="0" collapsed="false">
      <c r="A29" s="13" t="n">
        <v>13</v>
      </c>
      <c r="B29" s="14" t="s">
        <v>351</v>
      </c>
      <c r="C29" s="15"/>
      <c r="D29" s="9" t="s">
        <v>62</v>
      </c>
      <c r="E29" s="9" t="n">
        <f aca="false">INDEX(Catalogo!$B$6:$B$156,MATCH($D29,Catalogo!$A$6:$A$156,0))</f>
        <v>1</v>
      </c>
      <c r="F29" s="9" t="n">
        <f aca="false">INDEX(Catalogo!$D$6:$D$156,MATCH($D29,Catalogo!$A$6:$A$156,0))</f>
        <v>5</v>
      </c>
      <c r="G29" s="9" t="str">
        <f aca="false">INDEX(Catalogo!$G$6:$G$156,MATCH($D29,Catalogo!$A$6:$A$156,0))</f>
        <v>Nao iniciado</v>
      </c>
      <c r="H29" s="16" t="n">
        <f aca="false">SUM(F29:F30)</f>
        <v>10</v>
      </c>
    </row>
    <row r="30" customFormat="false" ht="15" hidden="false" customHeight="false" outlineLevel="0" collapsed="false">
      <c r="A30" s="13"/>
      <c r="B30" s="13"/>
      <c r="C30" s="13"/>
      <c r="D30" s="9" t="s">
        <v>65</v>
      </c>
      <c r="E30" s="9" t="n">
        <f aca="false">INDEX(Catalogo!$B$6:$B$156,MATCH($D30,Catalogo!$A$6:$A$156,0))</f>
        <v>1</v>
      </c>
      <c r="F30" s="9" t="n">
        <f aca="false">INDEX(Catalogo!$D$6:$D$156,MATCH($D30,Catalogo!$A$6:$A$156,0))</f>
        <v>5</v>
      </c>
      <c r="G30" s="9" t="str">
        <f aca="false">INDEX(Catalogo!$G$6:$G$156,MATCH($D30,Catalogo!$A$6:$A$156,0))</f>
        <v>Nao iniciado</v>
      </c>
      <c r="H30" s="16"/>
    </row>
    <row r="31" customFormat="false" ht="15" hidden="false" customHeight="true" outlineLevel="0" collapsed="false">
      <c r="A31" s="17" t="n">
        <v>14</v>
      </c>
      <c r="B31" s="18" t="s">
        <v>351</v>
      </c>
      <c r="C31" s="15"/>
      <c r="D31" s="19" t="s">
        <v>68</v>
      </c>
      <c r="E31" s="19" t="n">
        <f aca="false">INDEX(Catalogo!$B$6:$B$156,MATCH($D31,Catalogo!$A$6:$A$156,0))</f>
        <v>1</v>
      </c>
      <c r="F31" s="19" t="n">
        <f aca="false">INDEX(Catalogo!$D$6:$D$156,MATCH($D31,Catalogo!$A$6:$A$156,0))</f>
        <v>5</v>
      </c>
      <c r="G31" s="19" t="str">
        <f aca="false">INDEX(Catalogo!$G$6:$G$156,MATCH($D31,Catalogo!$A$6:$A$156,0))</f>
        <v>Nao iniciado</v>
      </c>
      <c r="H31" s="20" t="n">
        <f aca="false">SUM(F31:F32)</f>
        <v>10</v>
      </c>
    </row>
    <row r="32" customFormat="false" ht="15" hidden="false" customHeight="false" outlineLevel="0" collapsed="false">
      <c r="A32" s="17"/>
      <c r="B32" s="17"/>
      <c r="C32" s="17"/>
      <c r="D32" s="19" t="s">
        <v>71</v>
      </c>
      <c r="E32" s="19" t="n">
        <f aca="false">INDEX(Catalogo!$B$6:$B$156,MATCH($D32,Catalogo!$A$6:$A$156,0))</f>
        <v>1</v>
      </c>
      <c r="F32" s="19" t="n">
        <f aca="false">INDEX(Catalogo!$D$6:$D$156,MATCH($D32,Catalogo!$A$6:$A$156,0))</f>
        <v>5</v>
      </c>
      <c r="G32" s="19" t="str">
        <f aca="false">INDEX(Catalogo!$G$6:$G$156,MATCH($D32,Catalogo!$A$6:$A$156,0))</f>
        <v>Nao iniciado</v>
      </c>
      <c r="H32" s="20"/>
    </row>
    <row r="33" customFormat="false" ht="15" hidden="false" customHeight="true" outlineLevel="0" collapsed="false">
      <c r="A33" s="13" t="n">
        <v>15</v>
      </c>
      <c r="B33" s="14" t="s">
        <v>351</v>
      </c>
      <c r="C33" s="15"/>
      <c r="D33" s="9" t="s">
        <v>73</v>
      </c>
      <c r="E33" s="9" t="n">
        <f aca="false">INDEX(Catalogo!$B$6:$B$156,MATCH($D33,Catalogo!$A$6:$A$156,0))</f>
        <v>1</v>
      </c>
      <c r="F33" s="9" t="n">
        <f aca="false">INDEX(Catalogo!$D$6:$D$156,MATCH($D33,Catalogo!$A$6:$A$156,0))</f>
        <v>5</v>
      </c>
      <c r="G33" s="9" t="str">
        <f aca="false">INDEX(Catalogo!$G$6:$G$156,MATCH($D33,Catalogo!$A$6:$A$156,0))</f>
        <v>Nao iniciado</v>
      </c>
      <c r="H33" s="16" t="n">
        <f aca="false">SUM(F33:F34)</f>
        <v>10</v>
      </c>
    </row>
    <row r="34" customFormat="false" ht="15" hidden="false" customHeight="false" outlineLevel="0" collapsed="false">
      <c r="A34" s="13"/>
      <c r="B34" s="13"/>
      <c r="C34" s="13"/>
      <c r="D34" s="9" t="s">
        <v>76</v>
      </c>
      <c r="E34" s="9" t="n">
        <f aca="false">INDEX(Catalogo!$B$6:$B$156,MATCH($D34,Catalogo!$A$6:$A$156,0))</f>
        <v>1</v>
      </c>
      <c r="F34" s="9" t="n">
        <f aca="false">INDEX(Catalogo!$D$6:$D$156,MATCH($D34,Catalogo!$A$6:$A$156,0))</f>
        <v>5</v>
      </c>
      <c r="G34" s="9" t="str">
        <f aca="false">INDEX(Catalogo!$G$6:$G$156,MATCH($D34,Catalogo!$A$6:$A$156,0))</f>
        <v>Nao iniciado</v>
      </c>
      <c r="H34" s="16"/>
    </row>
    <row r="35" customFormat="false" ht="15" hidden="false" customHeight="true" outlineLevel="0" collapsed="false">
      <c r="A35" s="17" t="n">
        <v>16</v>
      </c>
      <c r="B35" s="18" t="s">
        <v>351</v>
      </c>
      <c r="C35" s="15"/>
      <c r="D35" s="19" t="s">
        <v>79</v>
      </c>
      <c r="E35" s="19" t="n">
        <f aca="false">INDEX(Catalogo!$B$6:$B$156,MATCH($D35,Catalogo!$A$6:$A$156,0))</f>
        <v>1</v>
      </c>
      <c r="F35" s="19" t="n">
        <f aca="false">INDEX(Catalogo!$D$6:$D$156,MATCH($D35,Catalogo!$A$6:$A$156,0))</f>
        <v>5</v>
      </c>
      <c r="G35" s="19" t="str">
        <f aca="false">INDEX(Catalogo!$G$6:$G$156,MATCH($D35,Catalogo!$A$6:$A$156,0))</f>
        <v>Nao iniciado</v>
      </c>
      <c r="H35" s="20" t="n">
        <f aca="false">SUM(F35:F36)</f>
        <v>10</v>
      </c>
    </row>
    <row r="36" customFormat="false" ht="15" hidden="false" customHeight="false" outlineLevel="0" collapsed="false">
      <c r="A36" s="17"/>
      <c r="B36" s="17"/>
      <c r="C36" s="17"/>
      <c r="D36" s="19" t="s">
        <v>82</v>
      </c>
      <c r="E36" s="19" t="n">
        <f aca="false">INDEX(Catalogo!$B$6:$B$156,MATCH($D36,Catalogo!$A$6:$A$156,0))</f>
        <v>1</v>
      </c>
      <c r="F36" s="19" t="n">
        <f aca="false">INDEX(Catalogo!$D$6:$D$156,MATCH($D36,Catalogo!$A$6:$A$156,0))</f>
        <v>5</v>
      </c>
      <c r="G36" s="19" t="str">
        <f aca="false">INDEX(Catalogo!$G$6:$G$156,MATCH($D36,Catalogo!$A$6:$A$156,0))</f>
        <v>Nao iniciado</v>
      </c>
      <c r="H36" s="20"/>
    </row>
    <row r="37" customFormat="false" ht="15" hidden="false" customHeight="true" outlineLevel="0" collapsed="false">
      <c r="A37" s="13" t="n">
        <v>17</v>
      </c>
      <c r="B37" s="14" t="s">
        <v>351</v>
      </c>
      <c r="C37" s="15"/>
      <c r="D37" s="9" t="s">
        <v>227</v>
      </c>
      <c r="E37" s="9" t="n">
        <f aca="false">INDEX(Catalogo!$B$6:$B$156,MATCH($D37,Catalogo!$A$6:$A$156,0))</f>
        <v>2</v>
      </c>
      <c r="F37" s="9" t="n">
        <f aca="false">INDEX(Catalogo!$D$6:$D$156,MATCH($D37,Catalogo!$A$6:$A$156,0))</f>
        <v>6</v>
      </c>
      <c r="G37" s="9" t="str">
        <f aca="false">INDEX(Catalogo!$G$6:$G$156,MATCH($D37,Catalogo!$A$6:$A$156,0))</f>
        <v>Nao iniciado</v>
      </c>
      <c r="H37" s="16" t="n">
        <f aca="false">SUM(F37:F38)</f>
        <v>12</v>
      </c>
    </row>
    <row r="38" customFormat="false" ht="15" hidden="false" customHeight="false" outlineLevel="0" collapsed="false">
      <c r="A38" s="13"/>
      <c r="B38" s="13"/>
      <c r="C38" s="13"/>
      <c r="D38" s="9" t="s">
        <v>230</v>
      </c>
      <c r="E38" s="9" t="n">
        <f aca="false">INDEX(Catalogo!$B$6:$B$156,MATCH($D38,Catalogo!$A$6:$A$156,0))</f>
        <v>2</v>
      </c>
      <c r="F38" s="9" t="n">
        <f aca="false">INDEX(Catalogo!$D$6:$D$156,MATCH($D38,Catalogo!$A$6:$A$156,0))</f>
        <v>6</v>
      </c>
      <c r="G38" s="9" t="str">
        <f aca="false">INDEX(Catalogo!$G$6:$G$156,MATCH($D38,Catalogo!$A$6:$A$156,0))</f>
        <v>Nao iniciado</v>
      </c>
      <c r="H38" s="16"/>
    </row>
    <row r="39" customFormat="false" ht="15" hidden="false" customHeight="true" outlineLevel="0" collapsed="false">
      <c r="A39" s="17" t="n">
        <v>18</v>
      </c>
      <c r="B39" s="18" t="s">
        <v>351</v>
      </c>
      <c r="C39" s="15"/>
      <c r="D39" s="19" t="s">
        <v>232</v>
      </c>
      <c r="E39" s="19" t="n">
        <f aca="false">INDEX(Catalogo!$B$6:$B$156,MATCH($D39,Catalogo!$A$6:$A$156,0))</f>
        <v>2</v>
      </c>
      <c r="F39" s="19" t="n">
        <f aca="false">INDEX(Catalogo!$D$6:$D$156,MATCH($D39,Catalogo!$A$6:$A$156,0))</f>
        <v>6</v>
      </c>
      <c r="G39" s="19" t="str">
        <f aca="false">INDEX(Catalogo!$G$6:$G$156,MATCH($D39,Catalogo!$A$6:$A$156,0))</f>
        <v>Nao iniciado</v>
      </c>
      <c r="H39" s="20" t="n">
        <f aca="false">SUM(F39:F40)</f>
        <v>12</v>
      </c>
    </row>
    <row r="40" customFormat="false" ht="15" hidden="false" customHeight="false" outlineLevel="0" collapsed="false">
      <c r="A40" s="17"/>
      <c r="B40" s="17"/>
      <c r="C40" s="17"/>
      <c r="D40" s="19" t="s">
        <v>235</v>
      </c>
      <c r="E40" s="19" t="n">
        <f aca="false">INDEX(Catalogo!$B$6:$B$156,MATCH($D40,Catalogo!$A$6:$A$156,0))</f>
        <v>2</v>
      </c>
      <c r="F40" s="19" t="n">
        <f aca="false">INDEX(Catalogo!$D$6:$D$156,MATCH($D40,Catalogo!$A$6:$A$156,0))</f>
        <v>6</v>
      </c>
      <c r="G40" s="19" t="str">
        <f aca="false">INDEX(Catalogo!$G$6:$G$156,MATCH($D40,Catalogo!$A$6:$A$156,0))</f>
        <v>Nao iniciado</v>
      </c>
      <c r="H40" s="20"/>
    </row>
    <row r="41" customFormat="false" ht="15" hidden="false" customHeight="true" outlineLevel="0" collapsed="false">
      <c r="A41" s="13" t="n">
        <v>19</v>
      </c>
      <c r="B41" s="14" t="s">
        <v>351</v>
      </c>
      <c r="C41" s="15"/>
      <c r="D41" s="9" t="s">
        <v>236</v>
      </c>
      <c r="E41" s="9" t="n">
        <f aca="false">INDEX(Catalogo!$B$6:$B$156,MATCH($D41,Catalogo!$A$6:$A$156,0))</f>
        <v>2</v>
      </c>
      <c r="F41" s="9" t="n">
        <f aca="false">INDEX(Catalogo!$D$6:$D$156,MATCH($D41,Catalogo!$A$6:$A$156,0))</f>
        <v>6</v>
      </c>
      <c r="G41" s="9" t="str">
        <f aca="false">INDEX(Catalogo!$G$6:$G$156,MATCH($D41,Catalogo!$A$6:$A$156,0))</f>
        <v>Nao iniciado</v>
      </c>
      <c r="H41" s="16" t="n">
        <f aca="false">SUM(F41:F42)</f>
        <v>12</v>
      </c>
    </row>
    <row r="42" customFormat="false" ht="15" hidden="false" customHeight="false" outlineLevel="0" collapsed="false">
      <c r="A42" s="13"/>
      <c r="B42" s="13"/>
      <c r="C42" s="13"/>
      <c r="D42" s="9" t="s">
        <v>238</v>
      </c>
      <c r="E42" s="9" t="n">
        <f aca="false">INDEX(Catalogo!$B$6:$B$156,MATCH($D42,Catalogo!$A$6:$A$156,0))</f>
        <v>2</v>
      </c>
      <c r="F42" s="9" t="n">
        <f aca="false">INDEX(Catalogo!$D$6:$D$156,MATCH($D42,Catalogo!$A$6:$A$156,0))</f>
        <v>6</v>
      </c>
      <c r="G42" s="9" t="str">
        <f aca="false">INDEX(Catalogo!$G$6:$G$156,MATCH($D42,Catalogo!$A$6:$A$156,0))</f>
        <v>Nao iniciado</v>
      </c>
      <c r="H42" s="16"/>
    </row>
    <row r="43" customFormat="false" ht="15" hidden="false" customHeight="true" outlineLevel="0" collapsed="false">
      <c r="A43" s="17" t="n">
        <v>20</v>
      </c>
      <c r="B43" s="18" t="s">
        <v>352</v>
      </c>
      <c r="C43" s="15"/>
      <c r="D43" s="19" t="s">
        <v>239</v>
      </c>
      <c r="E43" s="19" t="n">
        <f aca="false">INDEX(Catalogo!$B$6:$B$156,MATCH($D43,Catalogo!$A$6:$A$156,0))</f>
        <v>2</v>
      </c>
      <c r="F43" s="19" t="n">
        <f aca="false">INDEX(Catalogo!$D$6:$D$156,MATCH($D43,Catalogo!$A$6:$A$156,0))</f>
        <v>6</v>
      </c>
      <c r="G43" s="19" t="str">
        <f aca="false">INDEX(Catalogo!$G$6:$G$156,MATCH($D43,Catalogo!$A$6:$A$156,0))</f>
        <v>Nao iniciado</v>
      </c>
      <c r="H43" s="20" t="n">
        <f aca="false">SUM(F43:F44)</f>
        <v>12</v>
      </c>
    </row>
    <row r="44" customFormat="false" ht="15" hidden="false" customHeight="false" outlineLevel="0" collapsed="false">
      <c r="A44" s="17"/>
      <c r="B44" s="17"/>
      <c r="C44" s="17"/>
      <c r="D44" s="19" t="s">
        <v>241</v>
      </c>
      <c r="E44" s="19" t="n">
        <f aca="false">INDEX(Catalogo!$B$6:$B$156,MATCH($D44,Catalogo!$A$6:$A$156,0))</f>
        <v>2</v>
      </c>
      <c r="F44" s="19" t="n">
        <f aca="false">INDEX(Catalogo!$D$6:$D$156,MATCH($D44,Catalogo!$A$6:$A$156,0))</f>
        <v>6</v>
      </c>
      <c r="G44" s="19" t="str">
        <f aca="false">INDEX(Catalogo!$G$6:$G$156,MATCH($D44,Catalogo!$A$6:$A$156,0))</f>
        <v>Nao iniciado</v>
      </c>
      <c r="H44" s="20"/>
    </row>
    <row r="45" customFormat="false" ht="15" hidden="false" customHeight="true" outlineLevel="0" collapsed="false">
      <c r="A45" s="13" t="n">
        <v>21</v>
      </c>
      <c r="B45" s="14" t="s">
        <v>352</v>
      </c>
      <c r="C45" s="15"/>
      <c r="D45" s="9" t="s">
        <v>220</v>
      </c>
      <c r="E45" s="9" t="n">
        <f aca="false">INDEX(Catalogo!$B$6:$B$156,MATCH($D45,Catalogo!$A$6:$A$156,0))</f>
        <v>2</v>
      </c>
      <c r="F45" s="9" t="n">
        <f aca="false">INDEX(Catalogo!$D$6:$D$156,MATCH($D45,Catalogo!$A$6:$A$156,0))</f>
        <v>7</v>
      </c>
      <c r="G45" s="9" t="str">
        <f aca="false">INDEX(Catalogo!$G$6:$G$156,MATCH($D45,Catalogo!$A$6:$A$156,0))</f>
        <v>Nao iniciado</v>
      </c>
      <c r="H45" s="16" t="n">
        <f aca="false">SUM(F45:F46)</f>
        <v>14</v>
      </c>
    </row>
    <row r="46" customFormat="false" ht="15" hidden="false" customHeight="false" outlineLevel="0" collapsed="false">
      <c r="A46" s="13"/>
      <c r="B46" s="13"/>
      <c r="C46" s="13"/>
      <c r="D46" s="9" t="s">
        <v>222</v>
      </c>
      <c r="E46" s="9" t="n">
        <f aca="false">INDEX(Catalogo!$B$6:$B$156,MATCH($D46,Catalogo!$A$6:$A$156,0))</f>
        <v>2</v>
      </c>
      <c r="F46" s="9" t="n">
        <f aca="false">INDEX(Catalogo!$D$6:$D$156,MATCH($D46,Catalogo!$A$6:$A$156,0))</f>
        <v>7</v>
      </c>
      <c r="G46" s="9" t="str">
        <f aca="false">INDEX(Catalogo!$G$6:$G$156,MATCH($D46,Catalogo!$A$6:$A$156,0))</f>
        <v>Nao iniciado</v>
      </c>
      <c r="H46" s="16"/>
    </row>
    <row r="47" customFormat="false" ht="15" hidden="false" customHeight="true" outlineLevel="0" collapsed="false">
      <c r="A47" s="17" t="n">
        <v>22</v>
      </c>
      <c r="B47" s="18" t="s">
        <v>352</v>
      </c>
      <c r="C47" s="15"/>
      <c r="D47" s="19" t="s">
        <v>223</v>
      </c>
      <c r="E47" s="19" t="n">
        <f aca="false">INDEX(Catalogo!$B$6:$B$156,MATCH($D47,Catalogo!$A$6:$A$156,0))</f>
        <v>2</v>
      </c>
      <c r="F47" s="19" t="n">
        <f aca="false">INDEX(Catalogo!$D$6:$D$156,MATCH($D47,Catalogo!$A$6:$A$156,0))</f>
        <v>7</v>
      </c>
      <c r="G47" s="19" t="str">
        <f aca="false">INDEX(Catalogo!$G$6:$G$156,MATCH($D47,Catalogo!$A$6:$A$156,0))</f>
        <v>Nao iniciado</v>
      </c>
      <c r="H47" s="20" t="n">
        <f aca="false">SUM(F47:F48)</f>
        <v>14</v>
      </c>
    </row>
    <row r="48" customFormat="false" ht="15" hidden="false" customHeight="false" outlineLevel="0" collapsed="false">
      <c r="A48" s="17"/>
      <c r="B48" s="17"/>
      <c r="C48" s="17"/>
      <c r="D48" s="19" t="s">
        <v>224</v>
      </c>
      <c r="E48" s="19" t="n">
        <f aca="false">INDEX(Catalogo!$B$6:$B$156,MATCH($D48,Catalogo!$A$6:$A$156,0))</f>
        <v>2</v>
      </c>
      <c r="F48" s="19" t="n">
        <f aca="false">INDEX(Catalogo!$D$6:$D$156,MATCH($D48,Catalogo!$A$6:$A$156,0))</f>
        <v>7</v>
      </c>
      <c r="G48" s="19" t="str">
        <f aca="false">INDEX(Catalogo!$G$6:$G$156,MATCH($D48,Catalogo!$A$6:$A$156,0))</f>
        <v>Nao iniciado</v>
      </c>
      <c r="H48" s="20"/>
    </row>
    <row r="49" customFormat="false" ht="15" hidden="false" customHeight="true" outlineLevel="0" collapsed="false">
      <c r="A49" s="13" t="n">
        <v>23</v>
      </c>
      <c r="B49" s="14" t="s">
        <v>352</v>
      </c>
      <c r="C49" s="15"/>
      <c r="D49" s="9" t="s">
        <v>225</v>
      </c>
      <c r="E49" s="9" t="n">
        <f aca="false">INDEX(Catalogo!$B$6:$B$156,MATCH($D49,Catalogo!$A$6:$A$156,0))</f>
        <v>2</v>
      </c>
      <c r="F49" s="9" t="n">
        <f aca="false">INDEX(Catalogo!$D$6:$D$156,MATCH($D49,Catalogo!$A$6:$A$156,0))</f>
        <v>7</v>
      </c>
      <c r="G49" s="9" t="str">
        <f aca="false">INDEX(Catalogo!$G$6:$G$156,MATCH($D49,Catalogo!$A$6:$A$156,0))</f>
        <v>Nao iniciado</v>
      </c>
      <c r="H49" s="16" t="n">
        <f aca="false">SUM(F49:F50)</f>
        <v>14</v>
      </c>
    </row>
    <row r="50" customFormat="false" ht="15" hidden="false" customHeight="false" outlineLevel="0" collapsed="false">
      <c r="A50" s="13"/>
      <c r="B50" s="13"/>
      <c r="C50" s="13"/>
      <c r="D50" s="9" t="s">
        <v>226</v>
      </c>
      <c r="E50" s="9" t="n">
        <f aca="false">INDEX(Catalogo!$B$6:$B$156,MATCH($D50,Catalogo!$A$6:$A$156,0))</f>
        <v>2</v>
      </c>
      <c r="F50" s="9" t="n">
        <f aca="false">INDEX(Catalogo!$D$6:$D$156,MATCH($D50,Catalogo!$A$6:$A$156,0))</f>
        <v>7</v>
      </c>
      <c r="G50" s="9" t="str">
        <f aca="false">INDEX(Catalogo!$G$6:$G$156,MATCH($D50,Catalogo!$A$6:$A$156,0))</f>
        <v>Nao iniciado</v>
      </c>
      <c r="H50" s="16"/>
    </row>
    <row r="51" customFormat="false" ht="15" hidden="false" customHeight="true" outlineLevel="0" collapsed="false">
      <c r="A51" s="17" t="n">
        <v>24</v>
      </c>
      <c r="B51" s="18" t="s">
        <v>352</v>
      </c>
      <c r="C51" s="15"/>
      <c r="D51" s="19" t="s">
        <v>58</v>
      </c>
      <c r="E51" s="19" t="n">
        <f aca="false">INDEX(Catalogo!$B$6:$B$156,MATCH($D51,Catalogo!$A$6:$A$156,0))</f>
        <v>1</v>
      </c>
      <c r="F51" s="19" t="n">
        <f aca="false">INDEX(Catalogo!$D$6:$D$156,MATCH($D51,Catalogo!$A$6:$A$156,0))</f>
        <v>8</v>
      </c>
      <c r="G51" s="19" t="str">
        <f aca="false">INDEX(Catalogo!$G$6:$G$156,MATCH($D51,Catalogo!$A$6:$A$156,0))</f>
        <v>Nao iniciado</v>
      </c>
      <c r="H51" s="20" t="n">
        <f aca="false">SUM(F51:F52)</f>
        <v>16</v>
      </c>
    </row>
    <row r="52" customFormat="false" ht="15" hidden="false" customHeight="false" outlineLevel="0" collapsed="false">
      <c r="A52" s="17"/>
      <c r="B52" s="17"/>
      <c r="C52" s="17"/>
      <c r="D52" s="19" t="s">
        <v>187</v>
      </c>
      <c r="E52" s="19" t="n">
        <f aca="false">INDEX(Catalogo!$B$6:$B$156,MATCH($D52,Catalogo!$A$6:$A$156,0))</f>
        <v>2</v>
      </c>
      <c r="F52" s="19" t="n">
        <f aca="false">INDEX(Catalogo!$D$6:$D$156,MATCH($D52,Catalogo!$A$6:$A$156,0))</f>
        <v>8</v>
      </c>
      <c r="G52" s="19" t="str">
        <f aca="false">INDEX(Catalogo!$G$6:$G$156,MATCH($D52,Catalogo!$A$6:$A$156,0))</f>
        <v>Nao iniciado</v>
      </c>
      <c r="H52" s="20"/>
    </row>
    <row r="53" customFormat="false" ht="15" hidden="false" customHeight="true" outlineLevel="0" collapsed="false">
      <c r="A53" s="13" t="n">
        <v>25</v>
      </c>
      <c r="B53" s="14" t="s">
        <v>352</v>
      </c>
      <c r="C53" s="15"/>
      <c r="D53" s="9" t="s">
        <v>190</v>
      </c>
      <c r="E53" s="9" t="n">
        <f aca="false">INDEX(Catalogo!$B$6:$B$156,MATCH($D53,Catalogo!$A$6:$A$156,0))</f>
        <v>2</v>
      </c>
      <c r="F53" s="9" t="n">
        <f aca="false">INDEX(Catalogo!$D$6:$D$156,MATCH($D53,Catalogo!$A$6:$A$156,0))</f>
        <v>8</v>
      </c>
      <c r="G53" s="9" t="str">
        <f aca="false">INDEX(Catalogo!$G$6:$G$156,MATCH($D53,Catalogo!$A$6:$A$156,0))</f>
        <v>Nao iniciado</v>
      </c>
      <c r="H53" s="16" t="n">
        <f aca="false">SUM(F53:F54)</f>
        <v>16</v>
      </c>
    </row>
    <row r="54" customFormat="false" ht="15" hidden="false" customHeight="false" outlineLevel="0" collapsed="false">
      <c r="A54" s="13"/>
      <c r="B54" s="13"/>
      <c r="C54" s="13"/>
      <c r="D54" s="9" t="s">
        <v>192</v>
      </c>
      <c r="E54" s="9" t="n">
        <f aca="false">INDEX(Catalogo!$B$6:$B$156,MATCH($D54,Catalogo!$A$6:$A$156,0))</f>
        <v>2</v>
      </c>
      <c r="F54" s="9" t="n">
        <f aca="false">INDEX(Catalogo!$D$6:$D$156,MATCH($D54,Catalogo!$A$6:$A$156,0))</f>
        <v>8</v>
      </c>
      <c r="G54" s="9" t="str">
        <f aca="false">INDEX(Catalogo!$G$6:$G$156,MATCH($D54,Catalogo!$A$6:$A$156,0))</f>
        <v>Nao iniciado</v>
      </c>
      <c r="H54" s="16"/>
    </row>
    <row r="55" customFormat="false" ht="15" hidden="false" customHeight="true" outlineLevel="0" collapsed="false">
      <c r="A55" s="17" t="n">
        <v>26</v>
      </c>
      <c r="B55" s="18" t="s">
        <v>352</v>
      </c>
      <c r="C55" s="15"/>
      <c r="D55" s="19" t="s">
        <v>194</v>
      </c>
      <c r="E55" s="19" t="n">
        <f aca="false">INDEX(Catalogo!$B$6:$B$156,MATCH($D55,Catalogo!$A$6:$A$156,0))</f>
        <v>2</v>
      </c>
      <c r="F55" s="19" t="n">
        <f aca="false">INDEX(Catalogo!$D$6:$D$156,MATCH($D55,Catalogo!$A$6:$A$156,0))</f>
        <v>8</v>
      </c>
      <c r="G55" s="19" t="str">
        <f aca="false">INDEX(Catalogo!$G$6:$G$156,MATCH($D55,Catalogo!$A$6:$A$156,0))</f>
        <v>Nao iniciado</v>
      </c>
      <c r="H55" s="20" t="n">
        <f aca="false">SUM(F55:F56)</f>
        <v>16</v>
      </c>
    </row>
    <row r="56" customFormat="false" ht="15" hidden="false" customHeight="false" outlineLevel="0" collapsed="false">
      <c r="A56" s="17"/>
      <c r="B56" s="17"/>
      <c r="C56" s="17"/>
      <c r="D56" s="19" t="s">
        <v>196</v>
      </c>
      <c r="E56" s="19" t="n">
        <f aca="false">INDEX(Catalogo!$B$6:$B$156,MATCH($D56,Catalogo!$A$6:$A$156,0))</f>
        <v>2</v>
      </c>
      <c r="F56" s="19" t="n">
        <f aca="false">INDEX(Catalogo!$D$6:$D$156,MATCH($D56,Catalogo!$A$6:$A$156,0))</f>
        <v>8</v>
      </c>
      <c r="G56" s="19" t="str">
        <f aca="false">INDEX(Catalogo!$G$6:$G$156,MATCH($D56,Catalogo!$A$6:$A$156,0))</f>
        <v>Nao iniciado</v>
      </c>
      <c r="H56" s="20"/>
    </row>
    <row r="57" customFormat="false" ht="15" hidden="false" customHeight="true" outlineLevel="0" collapsed="false">
      <c r="A57" s="13" t="n">
        <v>27</v>
      </c>
      <c r="B57" s="14" t="s">
        <v>352</v>
      </c>
      <c r="C57" s="15"/>
      <c r="D57" s="9" t="s">
        <v>197</v>
      </c>
      <c r="E57" s="9" t="n">
        <f aca="false">INDEX(Catalogo!$B$6:$B$156,MATCH($D57,Catalogo!$A$6:$A$156,0))</f>
        <v>2</v>
      </c>
      <c r="F57" s="9" t="n">
        <f aca="false">INDEX(Catalogo!$D$6:$D$156,MATCH($D57,Catalogo!$A$6:$A$156,0))</f>
        <v>8</v>
      </c>
      <c r="G57" s="9" t="str">
        <f aca="false">INDEX(Catalogo!$G$6:$G$156,MATCH($D57,Catalogo!$A$6:$A$156,0))</f>
        <v>Nao iniciado</v>
      </c>
      <c r="H57" s="16" t="n">
        <f aca="false">SUM(F57:F58)</f>
        <v>16</v>
      </c>
    </row>
    <row r="58" customFormat="false" ht="15" hidden="false" customHeight="false" outlineLevel="0" collapsed="false">
      <c r="A58" s="13"/>
      <c r="B58" s="13"/>
      <c r="C58" s="13"/>
      <c r="D58" s="9" t="s">
        <v>198</v>
      </c>
      <c r="E58" s="9" t="n">
        <f aca="false">INDEX(Catalogo!$B$6:$B$156,MATCH($D58,Catalogo!$A$6:$A$156,0))</f>
        <v>2</v>
      </c>
      <c r="F58" s="9" t="n">
        <f aca="false">INDEX(Catalogo!$D$6:$D$156,MATCH($D58,Catalogo!$A$6:$A$156,0))</f>
        <v>8</v>
      </c>
      <c r="G58" s="9" t="str">
        <f aca="false">INDEX(Catalogo!$G$6:$G$156,MATCH($D58,Catalogo!$A$6:$A$156,0))</f>
        <v>Nao iniciado</v>
      </c>
      <c r="H58" s="16"/>
    </row>
    <row r="59" customFormat="false" ht="15" hidden="false" customHeight="true" outlineLevel="0" collapsed="false">
      <c r="A59" s="17" t="n">
        <v>28</v>
      </c>
      <c r="B59" s="18" t="s">
        <v>352</v>
      </c>
      <c r="C59" s="15"/>
      <c r="D59" s="19" t="s">
        <v>200</v>
      </c>
      <c r="E59" s="19" t="n">
        <f aca="false">INDEX(Catalogo!$B$6:$B$156,MATCH($D59,Catalogo!$A$6:$A$156,0))</f>
        <v>2</v>
      </c>
      <c r="F59" s="19" t="n">
        <f aca="false">INDEX(Catalogo!$D$6:$D$156,MATCH($D59,Catalogo!$A$6:$A$156,0))</f>
        <v>8</v>
      </c>
      <c r="G59" s="19" t="str">
        <f aca="false">INDEX(Catalogo!$G$6:$G$156,MATCH($D59,Catalogo!$A$6:$A$156,0))</f>
        <v>Nao iniciado</v>
      </c>
      <c r="H59" s="20" t="n">
        <f aca="false">SUM(F59:F60)</f>
        <v>16</v>
      </c>
    </row>
    <row r="60" customFormat="false" ht="15" hidden="false" customHeight="false" outlineLevel="0" collapsed="false">
      <c r="A60" s="17"/>
      <c r="B60" s="17"/>
      <c r="C60" s="17"/>
      <c r="D60" s="19" t="s">
        <v>202</v>
      </c>
      <c r="E60" s="19" t="n">
        <f aca="false">INDEX(Catalogo!$B$6:$B$156,MATCH($D60,Catalogo!$A$6:$A$156,0))</f>
        <v>2</v>
      </c>
      <c r="F60" s="19" t="n">
        <f aca="false">INDEX(Catalogo!$D$6:$D$156,MATCH($D60,Catalogo!$A$6:$A$156,0))</f>
        <v>8</v>
      </c>
      <c r="G60" s="19" t="str">
        <f aca="false">INDEX(Catalogo!$G$6:$G$156,MATCH($D60,Catalogo!$A$6:$A$156,0))</f>
        <v>Nao iniciado</v>
      </c>
      <c r="H60" s="20"/>
    </row>
    <row r="61" customFormat="false" ht="15" hidden="false" customHeight="true" outlineLevel="0" collapsed="false">
      <c r="A61" s="13" t="n">
        <v>29</v>
      </c>
      <c r="B61" s="14" t="s">
        <v>352</v>
      </c>
      <c r="C61" s="15"/>
      <c r="D61" s="9" t="s">
        <v>203</v>
      </c>
      <c r="E61" s="9" t="n">
        <f aca="false">INDEX(Catalogo!$B$6:$B$156,MATCH($D61,Catalogo!$A$6:$A$156,0))</f>
        <v>2</v>
      </c>
      <c r="F61" s="9" t="n">
        <f aca="false">INDEX(Catalogo!$D$6:$D$156,MATCH($D61,Catalogo!$A$6:$A$156,0))</f>
        <v>8</v>
      </c>
      <c r="G61" s="9" t="str">
        <f aca="false">INDEX(Catalogo!$G$6:$G$156,MATCH($D61,Catalogo!$A$6:$A$156,0))</f>
        <v>Nao iniciado</v>
      </c>
      <c r="H61" s="16" t="n">
        <f aca="false">SUM(F61:F62)</f>
        <v>16</v>
      </c>
    </row>
    <row r="62" customFormat="false" ht="15" hidden="false" customHeight="false" outlineLevel="0" collapsed="false">
      <c r="A62" s="13"/>
      <c r="B62" s="13"/>
      <c r="C62" s="13"/>
      <c r="D62" s="9" t="s">
        <v>205</v>
      </c>
      <c r="E62" s="9" t="n">
        <f aca="false">INDEX(Catalogo!$B$6:$B$156,MATCH($D62,Catalogo!$A$6:$A$156,0))</f>
        <v>2</v>
      </c>
      <c r="F62" s="9" t="n">
        <f aca="false">INDEX(Catalogo!$D$6:$D$156,MATCH($D62,Catalogo!$A$6:$A$156,0))</f>
        <v>8</v>
      </c>
      <c r="G62" s="9" t="str">
        <f aca="false">INDEX(Catalogo!$G$6:$G$156,MATCH($D62,Catalogo!$A$6:$A$156,0))</f>
        <v>Nao iniciado</v>
      </c>
      <c r="H62" s="16"/>
    </row>
    <row r="63" customFormat="false" ht="15" hidden="false" customHeight="true" outlineLevel="0" collapsed="false">
      <c r="A63" s="17" t="n">
        <v>30</v>
      </c>
      <c r="B63" s="18" t="s">
        <v>352</v>
      </c>
      <c r="C63" s="15"/>
      <c r="D63" s="19" t="s">
        <v>206</v>
      </c>
      <c r="E63" s="19" t="n">
        <f aca="false">INDEX(Catalogo!$B$6:$B$156,MATCH($D63,Catalogo!$A$6:$A$156,0))</f>
        <v>2</v>
      </c>
      <c r="F63" s="19" t="n">
        <f aca="false">INDEX(Catalogo!$D$6:$D$156,MATCH($D63,Catalogo!$A$6:$A$156,0))</f>
        <v>8</v>
      </c>
      <c r="G63" s="19" t="str">
        <f aca="false">INDEX(Catalogo!$G$6:$G$156,MATCH($D63,Catalogo!$A$6:$A$156,0))</f>
        <v>Nao iniciado</v>
      </c>
      <c r="H63" s="20" t="n">
        <f aca="false">SUM(F63:F64)</f>
        <v>16</v>
      </c>
    </row>
    <row r="64" customFormat="false" ht="15" hidden="false" customHeight="false" outlineLevel="0" collapsed="false">
      <c r="A64" s="17"/>
      <c r="B64" s="17"/>
      <c r="C64" s="17"/>
      <c r="D64" s="19" t="s">
        <v>207</v>
      </c>
      <c r="E64" s="19" t="n">
        <f aca="false">INDEX(Catalogo!$B$6:$B$156,MATCH($D64,Catalogo!$A$6:$A$156,0))</f>
        <v>2</v>
      </c>
      <c r="F64" s="19" t="n">
        <f aca="false">INDEX(Catalogo!$D$6:$D$156,MATCH($D64,Catalogo!$A$6:$A$156,0))</f>
        <v>8</v>
      </c>
      <c r="G64" s="19" t="str">
        <f aca="false">INDEX(Catalogo!$G$6:$G$156,MATCH($D64,Catalogo!$A$6:$A$156,0))</f>
        <v>Nao iniciado</v>
      </c>
      <c r="H64" s="20"/>
    </row>
    <row r="65" customFormat="false" ht="15" hidden="false" customHeight="true" outlineLevel="0" collapsed="false">
      <c r="A65" s="13" t="n">
        <v>31</v>
      </c>
      <c r="B65" s="14" t="s">
        <v>352</v>
      </c>
      <c r="C65" s="15"/>
      <c r="D65" s="9" t="s">
        <v>208</v>
      </c>
      <c r="E65" s="9" t="n">
        <f aca="false">INDEX(Catalogo!$B$6:$B$156,MATCH($D65,Catalogo!$A$6:$A$156,0))</f>
        <v>2</v>
      </c>
      <c r="F65" s="9" t="n">
        <f aca="false">INDEX(Catalogo!$D$6:$D$156,MATCH($D65,Catalogo!$A$6:$A$156,0))</f>
        <v>8</v>
      </c>
      <c r="G65" s="9" t="str">
        <f aca="false">INDEX(Catalogo!$G$6:$G$156,MATCH($D65,Catalogo!$A$6:$A$156,0))</f>
        <v>Nao iniciado</v>
      </c>
      <c r="H65" s="16" t="n">
        <f aca="false">SUM(F65:F66)</f>
        <v>16</v>
      </c>
    </row>
    <row r="66" customFormat="false" ht="15" hidden="false" customHeight="false" outlineLevel="0" collapsed="false">
      <c r="A66" s="13"/>
      <c r="B66" s="13"/>
      <c r="C66" s="13"/>
      <c r="D66" s="9" t="s">
        <v>211</v>
      </c>
      <c r="E66" s="9" t="n">
        <f aca="false">INDEX(Catalogo!$B$6:$B$156,MATCH($D66,Catalogo!$A$6:$A$156,0))</f>
        <v>2</v>
      </c>
      <c r="F66" s="9" t="n">
        <f aca="false">INDEX(Catalogo!$D$6:$D$156,MATCH($D66,Catalogo!$A$6:$A$156,0))</f>
        <v>8</v>
      </c>
      <c r="G66" s="9" t="str">
        <f aca="false">INDEX(Catalogo!$G$6:$G$156,MATCH($D66,Catalogo!$A$6:$A$156,0))</f>
        <v>Nao iniciado</v>
      </c>
      <c r="H66" s="16"/>
    </row>
    <row r="67" customFormat="false" ht="15" hidden="false" customHeight="true" outlineLevel="0" collapsed="false">
      <c r="A67" s="17" t="n">
        <v>32</v>
      </c>
      <c r="B67" s="18" t="s">
        <v>352</v>
      </c>
      <c r="C67" s="15"/>
      <c r="D67" s="19" t="s">
        <v>213</v>
      </c>
      <c r="E67" s="19" t="n">
        <f aca="false">INDEX(Catalogo!$B$6:$B$156,MATCH($D67,Catalogo!$A$6:$A$156,0))</f>
        <v>2</v>
      </c>
      <c r="F67" s="19" t="n">
        <f aca="false">INDEX(Catalogo!$D$6:$D$156,MATCH($D67,Catalogo!$A$6:$A$156,0))</f>
        <v>8</v>
      </c>
      <c r="G67" s="19" t="str">
        <f aca="false">INDEX(Catalogo!$G$6:$G$156,MATCH($D67,Catalogo!$A$6:$A$156,0))</f>
        <v>Nao iniciado</v>
      </c>
      <c r="H67" s="20" t="n">
        <f aca="false">SUM(F67:F68)</f>
        <v>16</v>
      </c>
    </row>
    <row r="68" customFormat="false" ht="15" hidden="false" customHeight="false" outlineLevel="0" collapsed="false">
      <c r="A68" s="17"/>
      <c r="B68" s="17"/>
      <c r="C68" s="17"/>
      <c r="D68" s="19" t="s">
        <v>215</v>
      </c>
      <c r="E68" s="19" t="n">
        <f aca="false">INDEX(Catalogo!$B$6:$B$156,MATCH($D68,Catalogo!$A$6:$A$156,0))</f>
        <v>2</v>
      </c>
      <c r="F68" s="19" t="n">
        <f aca="false">INDEX(Catalogo!$D$6:$D$156,MATCH($D68,Catalogo!$A$6:$A$156,0))</f>
        <v>8</v>
      </c>
      <c r="G68" s="19" t="str">
        <f aca="false">INDEX(Catalogo!$G$6:$G$156,MATCH($D68,Catalogo!$A$6:$A$156,0))</f>
        <v>Nao iniciado</v>
      </c>
      <c r="H68" s="20"/>
    </row>
    <row r="69" customFormat="false" ht="15" hidden="false" customHeight="true" outlineLevel="0" collapsed="false">
      <c r="A69" s="13" t="n">
        <v>33</v>
      </c>
      <c r="B69" s="14" t="s">
        <v>352</v>
      </c>
      <c r="C69" s="15"/>
      <c r="D69" s="9" t="s">
        <v>218</v>
      </c>
      <c r="E69" s="9" t="n">
        <f aca="false">INDEX(Catalogo!$B$6:$B$156,MATCH($D69,Catalogo!$A$6:$A$156,0))</f>
        <v>2</v>
      </c>
      <c r="F69" s="9" t="n">
        <f aca="false">INDEX(Catalogo!$D$6:$D$156,MATCH($D69,Catalogo!$A$6:$A$156,0))</f>
        <v>8</v>
      </c>
      <c r="G69" s="9" t="str">
        <f aca="false">INDEX(Catalogo!$G$6:$G$156,MATCH($D69,Catalogo!$A$6:$A$156,0))</f>
        <v>Nao iniciado</v>
      </c>
      <c r="H69" s="16" t="n">
        <f aca="false">SUM(F69:F70)</f>
        <v>17</v>
      </c>
    </row>
    <row r="70" customFormat="false" ht="15" hidden="false" customHeight="false" outlineLevel="0" collapsed="false">
      <c r="A70" s="13"/>
      <c r="B70" s="13"/>
      <c r="C70" s="13"/>
      <c r="D70" s="9" t="s">
        <v>180</v>
      </c>
      <c r="E70" s="9" t="n">
        <f aca="false">INDEX(Catalogo!$B$6:$B$156,MATCH($D70,Catalogo!$A$6:$A$156,0))</f>
        <v>2</v>
      </c>
      <c r="F70" s="9" t="n">
        <f aca="false">INDEX(Catalogo!$D$6:$D$156,MATCH($D70,Catalogo!$A$6:$A$156,0))</f>
        <v>9</v>
      </c>
      <c r="G70" s="9" t="str">
        <f aca="false">INDEX(Catalogo!$G$6:$G$156,MATCH($D70,Catalogo!$A$6:$A$156,0))</f>
        <v>Nao iniciado</v>
      </c>
      <c r="H70" s="16"/>
    </row>
    <row r="71" customFormat="false" ht="15" hidden="false" customHeight="true" outlineLevel="0" collapsed="false">
      <c r="A71" s="17" t="n">
        <v>34</v>
      </c>
      <c r="B71" s="18" t="s">
        <v>352</v>
      </c>
      <c r="C71" s="15"/>
      <c r="D71" s="19" t="s">
        <v>182</v>
      </c>
      <c r="E71" s="19" t="n">
        <f aca="false">INDEX(Catalogo!$B$6:$B$156,MATCH($D71,Catalogo!$A$6:$A$156,0))</f>
        <v>2</v>
      </c>
      <c r="F71" s="19" t="n">
        <f aca="false">INDEX(Catalogo!$D$6:$D$156,MATCH($D71,Catalogo!$A$6:$A$156,0))</f>
        <v>9</v>
      </c>
      <c r="G71" s="19" t="str">
        <f aca="false">INDEX(Catalogo!$G$6:$G$156,MATCH($D71,Catalogo!$A$6:$A$156,0))</f>
        <v>Nao iniciado</v>
      </c>
      <c r="H71" s="20" t="n">
        <f aca="false">SUM(F71:F72)</f>
        <v>18</v>
      </c>
    </row>
    <row r="72" customFormat="false" ht="15" hidden="false" customHeight="false" outlineLevel="0" collapsed="false">
      <c r="A72" s="17"/>
      <c r="B72" s="17"/>
      <c r="C72" s="17"/>
      <c r="D72" s="19" t="s">
        <v>183</v>
      </c>
      <c r="E72" s="19" t="n">
        <f aca="false">INDEX(Catalogo!$B$6:$B$156,MATCH($D72,Catalogo!$A$6:$A$156,0))</f>
        <v>2</v>
      </c>
      <c r="F72" s="19" t="n">
        <f aca="false">INDEX(Catalogo!$D$6:$D$156,MATCH($D72,Catalogo!$A$6:$A$156,0))</f>
        <v>9</v>
      </c>
      <c r="G72" s="19" t="str">
        <f aca="false">INDEX(Catalogo!$G$6:$G$156,MATCH($D72,Catalogo!$A$6:$A$156,0))</f>
        <v>Nao iniciado</v>
      </c>
      <c r="H72" s="20"/>
    </row>
    <row r="73" customFormat="false" ht="15" hidden="false" customHeight="true" outlineLevel="0" collapsed="false">
      <c r="A73" s="13" t="n">
        <v>35</v>
      </c>
      <c r="B73" s="14" t="s">
        <v>352</v>
      </c>
      <c r="C73" s="15"/>
      <c r="D73" s="9" t="s">
        <v>184</v>
      </c>
      <c r="E73" s="9" t="n">
        <f aca="false">INDEX(Catalogo!$B$6:$B$156,MATCH($D73,Catalogo!$A$6:$A$156,0))</f>
        <v>2</v>
      </c>
      <c r="F73" s="9" t="n">
        <f aca="false">INDEX(Catalogo!$D$6:$D$156,MATCH($D73,Catalogo!$A$6:$A$156,0))</f>
        <v>9</v>
      </c>
      <c r="G73" s="9" t="str">
        <f aca="false">INDEX(Catalogo!$G$6:$G$156,MATCH($D73,Catalogo!$A$6:$A$156,0))</f>
        <v>Nao iniciado</v>
      </c>
      <c r="H73" s="16" t="n">
        <f aca="false">SUM(F73:F74)</f>
        <v>18</v>
      </c>
    </row>
    <row r="74" customFormat="false" ht="15" hidden="false" customHeight="false" outlineLevel="0" collapsed="false">
      <c r="A74" s="13"/>
      <c r="B74" s="13"/>
      <c r="C74" s="13"/>
      <c r="D74" s="9" t="s">
        <v>185</v>
      </c>
      <c r="E74" s="9" t="n">
        <f aca="false">INDEX(Catalogo!$B$6:$B$156,MATCH($D74,Catalogo!$A$6:$A$156,0))</f>
        <v>2</v>
      </c>
      <c r="F74" s="9" t="n">
        <f aca="false">INDEX(Catalogo!$D$6:$D$156,MATCH($D74,Catalogo!$A$6:$A$156,0))</f>
        <v>9</v>
      </c>
      <c r="G74" s="9" t="str">
        <f aca="false">INDEX(Catalogo!$G$6:$G$156,MATCH($D74,Catalogo!$A$6:$A$156,0))</f>
        <v>Nao iniciado</v>
      </c>
      <c r="H74" s="16"/>
    </row>
    <row r="75" customFormat="false" ht="15" hidden="false" customHeight="true" outlineLevel="0" collapsed="false">
      <c r="A75" s="17" t="n">
        <v>36</v>
      </c>
      <c r="B75" s="18" t="s">
        <v>352</v>
      </c>
      <c r="C75" s="15"/>
      <c r="D75" s="19" t="s">
        <v>153</v>
      </c>
      <c r="E75" s="19" t="n">
        <f aca="false">INDEX(Catalogo!$B$6:$B$156,MATCH($D75,Catalogo!$A$6:$A$156,0))</f>
        <v>2</v>
      </c>
      <c r="F75" s="19" t="n">
        <f aca="false">INDEX(Catalogo!$D$6:$D$156,MATCH($D75,Catalogo!$A$6:$A$156,0))</f>
        <v>10</v>
      </c>
      <c r="G75" s="19" t="str">
        <f aca="false">INDEX(Catalogo!$G$6:$G$156,MATCH($D75,Catalogo!$A$6:$A$156,0))</f>
        <v>Nao iniciado</v>
      </c>
      <c r="H75" s="20" t="n">
        <f aca="false">SUM(F75:F76)</f>
        <v>20</v>
      </c>
    </row>
    <row r="76" customFormat="false" ht="15" hidden="false" customHeight="false" outlineLevel="0" collapsed="false">
      <c r="A76" s="17"/>
      <c r="B76" s="17"/>
      <c r="C76" s="17"/>
      <c r="D76" s="19" t="s">
        <v>156</v>
      </c>
      <c r="E76" s="19" t="n">
        <f aca="false">INDEX(Catalogo!$B$6:$B$156,MATCH($D76,Catalogo!$A$6:$A$156,0))</f>
        <v>2</v>
      </c>
      <c r="F76" s="19" t="n">
        <f aca="false">INDEX(Catalogo!$D$6:$D$156,MATCH($D76,Catalogo!$A$6:$A$156,0))</f>
        <v>10</v>
      </c>
      <c r="G76" s="19" t="str">
        <f aca="false">INDEX(Catalogo!$G$6:$G$156,MATCH($D76,Catalogo!$A$6:$A$156,0))</f>
        <v>Nao iniciado</v>
      </c>
      <c r="H76" s="20"/>
    </row>
    <row r="77" customFormat="false" ht="15" hidden="false" customHeight="true" outlineLevel="0" collapsed="false">
      <c r="A77" s="13" t="n">
        <v>37</v>
      </c>
      <c r="B77" s="14" t="s">
        <v>352</v>
      </c>
      <c r="C77" s="15"/>
      <c r="D77" s="9" t="s">
        <v>158</v>
      </c>
      <c r="E77" s="9" t="n">
        <f aca="false">INDEX(Catalogo!$B$6:$B$156,MATCH($D77,Catalogo!$A$6:$A$156,0))</f>
        <v>2</v>
      </c>
      <c r="F77" s="9" t="n">
        <f aca="false">INDEX(Catalogo!$D$6:$D$156,MATCH($D77,Catalogo!$A$6:$A$156,0))</f>
        <v>10</v>
      </c>
      <c r="G77" s="9" t="str">
        <f aca="false">INDEX(Catalogo!$G$6:$G$156,MATCH($D77,Catalogo!$A$6:$A$156,0))</f>
        <v>Nao iniciado</v>
      </c>
      <c r="H77" s="16" t="n">
        <f aca="false">SUM(F77:F78)</f>
        <v>20</v>
      </c>
    </row>
    <row r="78" customFormat="false" ht="15" hidden="false" customHeight="false" outlineLevel="0" collapsed="false">
      <c r="A78" s="13"/>
      <c r="B78" s="13"/>
      <c r="C78" s="13"/>
      <c r="D78" s="9" t="s">
        <v>160</v>
      </c>
      <c r="E78" s="9" t="n">
        <f aca="false">INDEX(Catalogo!$B$6:$B$156,MATCH($D78,Catalogo!$A$6:$A$156,0))</f>
        <v>2</v>
      </c>
      <c r="F78" s="9" t="n">
        <f aca="false">INDEX(Catalogo!$D$6:$D$156,MATCH($D78,Catalogo!$A$6:$A$156,0))</f>
        <v>10</v>
      </c>
      <c r="G78" s="9" t="str">
        <f aca="false">INDEX(Catalogo!$G$6:$G$156,MATCH($D78,Catalogo!$A$6:$A$156,0))</f>
        <v>Nao iniciado</v>
      </c>
      <c r="H78" s="16"/>
    </row>
    <row r="79" customFormat="false" ht="15" hidden="false" customHeight="true" outlineLevel="0" collapsed="false">
      <c r="A79" s="17" t="n">
        <v>38</v>
      </c>
      <c r="B79" s="18" t="s">
        <v>352</v>
      </c>
      <c r="C79" s="15"/>
      <c r="D79" s="19" t="s">
        <v>161</v>
      </c>
      <c r="E79" s="19" t="n">
        <f aca="false">INDEX(Catalogo!$B$6:$B$156,MATCH($D79,Catalogo!$A$6:$A$156,0))</f>
        <v>2</v>
      </c>
      <c r="F79" s="19" t="n">
        <f aca="false">INDEX(Catalogo!$D$6:$D$156,MATCH($D79,Catalogo!$A$6:$A$156,0))</f>
        <v>10</v>
      </c>
      <c r="G79" s="19" t="str">
        <f aca="false">INDEX(Catalogo!$G$6:$G$156,MATCH($D79,Catalogo!$A$6:$A$156,0))</f>
        <v>Nao iniciado</v>
      </c>
      <c r="H79" s="20" t="n">
        <f aca="false">SUM(F79:F80)</f>
        <v>20</v>
      </c>
    </row>
    <row r="80" customFormat="false" ht="15" hidden="false" customHeight="false" outlineLevel="0" collapsed="false">
      <c r="A80" s="17"/>
      <c r="B80" s="17"/>
      <c r="C80" s="17"/>
      <c r="D80" s="19" t="s">
        <v>163</v>
      </c>
      <c r="E80" s="19" t="n">
        <f aca="false">INDEX(Catalogo!$B$6:$B$156,MATCH($D80,Catalogo!$A$6:$A$156,0))</f>
        <v>2</v>
      </c>
      <c r="F80" s="19" t="n">
        <f aca="false">INDEX(Catalogo!$D$6:$D$156,MATCH($D80,Catalogo!$A$6:$A$156,0))</f>
        <v>10</v>
      </c>
      <c r="G80" s="19" t="str">
        <f aca="false">INDEX(Catalogo!$G$6:$G$156,MATCH($D80,Catalogo!$A$6:$A$156,0))</f>
        <v>Nao iniciado</v>
      </c>
      <c r="H80" s="20"/>
    </row>
    <row r="81" customFormat="false" ht="15" hidden="false" customHeight="true" outlineLevel="0" collapsed="false">
      <c r="A81" s="13" t="n">
        <v>39</v>
      </c>
      <c r="B81" s="14" t="s">
        <v>353</v>
      </c>
      <c r="C81" s="15"/>
      <c r="D81" s="9" t="s">
        <v>165</v>
      </c>
      <c r="E81" s="9" t="n">
        <f aca="false">INDEX(Catalogo!$B$6:$B$156,MATCH($D81,Catalogo!$A$6:$A$156,0))</f>
        <v>2</v>
      </c>
      <c r="F81" s="9" t="n">
        <f aca="false">INDEX(Catalogo!$D$6:$D$156,MATCH($D81,Catalogo!$A$6:$A$156,0))</f>
        <v>10</v>
      </c>
      <c r="G81" s="9" t="str">
        <f aca="false">INDEX(Catalogo!$G$6:$G$156,MATCH($D81,Catalogo!$A$6:$A$156,0))</f>
        <v>Nao iniciado</v>
      </c>
      <c r="H81" s="16" t="n">
        <f aca="false">SUM(F81:F82)</f>
        <v>20</v>
      </c>
    </row>
    <row r="82" customFormat="false" ht="15" hidden="false" customHeight="false" outlineLevel="0" collapsed="false">
      <c r="A82" s="13"/>
      <c r="B82" s="13"/>
      <c r="C82" s="13"/>
      <c r="D82" s="9" t="s">
        <v>168</v>
      </c>
      <c r="E82" s="9" t="n">
        <f aca="false">INDEX(Catalogo!$B$6:$B$156,MATCH($D82,Catalogo!$A$6:$A$156,0))</f>
        <v>2</v>
      </c>
      <c r="F82" s="9" t="n">
        <f aca="false">INDEX(Catalogo!$D$6:$D$156,MATCH($D82,Catalogo!$A$6:$A$156,0))</f>
        <v>10</v>
      </c>
      <c r="G82" s="9" t="str">
        <f aca="false">INDEX(Catalogo!$G$6:$G$156,MATCH($D82,Catalogo!$A$6:$A$156,0))</f>
        <v>Nao iniciado</v>
      </c>
      <c r="H82" s="16"/>
    </row>
    <row r="83" customFormat="false" ht="15" hidden="false" customHeight="true" outlineLevel="0" collapsed="false">
      <c r="A83" s="17" t="n">
        <v>40</v>
      </c>
      <c r="B83" s="18" t="s">
        <v>353</v>
      </c>
      <c r="C83" s="15"/>
      <c r="D83" s="19" t="s">
        <v>169</v>
      </c>
      <c r="E83" s="19" t="n">
        <f aca="false">INDEX(Catalogo!$B$6:$B$156,MATCH($D83,Catalogo!$A$6:$A$156,0))</f>
        <v>2</v>
      </c>
      <c r="F83" s="19" t="n">
        <f aca="false">INDEX(Catalogo!$D$6:$D$156,MATCH($D83,Catalogo!$A$6:$A$156,0))</f>
        <v>10</v>
      </c>
      <c r="G83" s="19" t="str">
        <f aca="false">INDEX(Catalogo!$G$6:$G$156,MATCH($D83,Catalogo!$A$6:$A$156,0))</f>
        <v>Nao iniciado</v>
      </c>
      <c r="H83" s="20" t="n">
        <f aca="false">SUM(F83:F84)</f>
        <v>20</v>
      </c>
    </row>
    <row r="84" customFormat="false" ht="15" hidden="false" customHeight="false" outlineLevel="0" collapsed="false">
      <c r="A84" s="17"/>
      <c r="B84" s="17"/>
      <c r="C84" s="17"/>
      <c r="D84" s="19" t="s">
        <v>172</v>
      </c>
      <c r="E84" s="19" t="n">
        <f aca="false">INDEX(Catalogo!$B$6:$B$156,MATCH($D84,Catalogo!$A$6:$A$156,0))</f>
        <v>2</v>
      </c>
      <c r="F84" s="19" t="n">
        <f aca="false">INDEX(Catalogo!$D$6:$D$156,MATCH($D84,Catalogo!$A$6:$A$156,0))</f>
        <v>10</v>
      </c>
      <c r="G84" s="19" t="str">
        <f aca="false">INDEX(Catalogo!$G$6:$G$156,MATCH($D84,Catalogo!$A$6:$A$156,0))</f>
        <v>Nao iniciado</v>
      </c>
      <c r="H84" s="20"/>
    </row>
    <row r="85" customFormat="false" ht="15" hidden="false" customHeight="true" outlineLevel="0" collapsed="false">
      <c r="A85" s="13" t="n">
        <v>41</v>
      </c>
      <c r="B85" s="14" t="s">
        <v>353</v>
      </c>
      <c r="C85" s="15"/>
      <c r="D85" s="9" t="s">
        <v>174</v>
      </c>
      <c r="E85" s="9" t="n">
        <f aca="false">INDEX(Catalogo!$B$6:$B$156,MATCH($D85,Catalogo!$A$6:$A$156,0))</f>
        <v>2</v>
      </c>
      <c r="F85" s="9" t="n">
        <f aca="false">INDEX(Catalogo!$D$6:$D$156,MATCH($D85,Catalogo!$A$6:$A$156,0))</f>
        <v>10</v>
      </c>
      <c r="G85" s="9" t="str">
        <f aca="false">INDEX(Catalogo!$G$6:$G$156,MATCH($D85,Catalogo!$A$6:$A$156,0))</f>
        <v>Nao iniciado</v>
      </c>
      <c r="H85" s="16" t="n">
        <f aca="false">SUM(F85:F86)</f>
        <v>20</v>
      </c>
    </row>
    <row r="86" customFormat="false" ht="15" hidden="false" customHeight="false" outlineLevel="0" collapsed="false">
      <c r="A86" s="13"/>
      <c r="B86" s="13"/>
      <c r="C86" s="13"/>
      <c r="D86" s="9" t="s">
        <v>176</v>
      </c>
      <c r="E86" s="9" t="n">
        <f aca="false">INDEX(Catalogo!$B$6:$B$156,MATCH($D86,Catalogo!$A$6:$A$156,0))</f>
        <v>2</v>
      </c>
      <c r="F86" s="9" t="n">
        <f aca="false">INDEX(Catalogo!$D$6:$D$156,MATCH($D86,Catalogo!$A$6:$A$156,0))</f>
        <v>10</v>
      </c>
      <c r="G86" s="9" t="str">
        <f aca="false">INDEX(Catalogo!$G$6:$G$156,MATCH($D86,Catalogo!$A$6:$A$156,0))</f>
        <v>Nao iniciado</v>
      </c>
      <c r="H86" s="16"/>
    </row>
    <row r="87" customFormat="false" ht="15" hidden="false" customHeight="true" outlineLevel="0" collapsed="false">
      <c r="A87" s="17" t="n">
        <v>42</v>
      </c>
      <c r="B87" s="18" t="s">
        <v>353</v>
      </c>
      <c r="C87" s="15"/>
      <c r="D87" s="19" t="s">
        <v>178</v>
      </c>
      <c r="E87" s="19" t="n">
        <f aca="false">INDEX(Catalogo!$B$6:$B$156,MATCH($D87,Catalogo!$A$6:$A$156,0))</f>
        <v>2</v>
      </c>
      <c r="F87" s="19" t="n">
        <f aca="false">INDEX(Catalogo!$D$6:$D$156,MATCH($D87,Catalogo!$A$6:$A$156,0))</f>
        <v>10</v>
      </c>
      <c r="G87" s="19" t="str">
        <f aca="false">INDEX(Catalogo!$G$6:$G$156,MATCH($D87,Catalogo!$A$6:$A$156,0))</f>
        <v>Nao iniciado</v>
      </c>
      <c r="H87" s="20" t="n">
        <f aca="false">SUM(F87:F88)</f>
        <v>20</v>
      </c>
    </row>
    <row r="88" customFormat="false" ht="15" hidden="false" customHeight="false" outlineLevel="0" collapsed="false">
      <c r="A88" s="17"/>
      <c r="B88" s="17"/>
      <c r="C88" s="17"/>
      <c r="D88" s="19" t="s">
        <v>303</v>
      </c>
      <c r="E88" s="19" t="n">
        <f aca="false">INDEX(Catalogo!$B$6:$B$156,MATCH($D88,Catalogo!$A$6:$A$156,0))</f>
        <v>3</v>
      </c>
      <c r="F88" s="19" t="n">
        <f aca="false">INDEX(Catalogo!$D$6:$D$156,MATCH($D88,Catalogo!$A$6:$A$156,0))</f>
        <v>10</v>
      </c>
      <c r="G88" s="19" t="str">
        <f aca="false">INDEX(Catalogo!$G$6:$G$156,MATCH($D88,Catalogo!$A$6:$A$156,0))</f>
        <v>Nao iniciado</v>
      </c>
      <c r="H88" s="20"/>
    </row>
    <row r="89" customFormat="false" ht="15" hidden="false" customHeight="true" outlineLevel="0" collapsed="false">
      <c r="A89" s="13" t="n">
        <v>43</v>
      </c>
      <c r="B89" s="14" t="s">
        <v>353</v>
      </c>
      <c r="C89" s="15"/>
      <c r="D89" s="9" t="s">
        <v>304</v>
      </c>
      <c r="E89" s="9" t="n">
        <f aca="false">INDEX(Catalogo!$B$6:$B$156,MATCH($D89,Catalogo!$A$6:$A$156,0))</f>
        <v>3</v>
      </c>
      <c r="F89" s="9" t="n">
        <f aca="false">INDEX(Catalogo!$D$6:$D$156,MATCH($D89,Catalogo!$A$6:$A$156,0))</f>
        <v>10</v>
      </c>
      <c r="G89" s="9" t="str">
        <f aca="false">INDEX(Catalogo!$G$6:$G$156,MATCH($D89,Catalogo!$A$6:$A$156,0))</f>
        <v>Nao iniciado</v>
      </c>
      <c r="H89" s="16" t="n">
        <f aca="false">SUM(F89:F90)</f>
        <v>21</v>
      </c>
    </row>
    <row r="90" customFormat="false" ht="15" hidden="false" customHeight="false" outlineLevel="0" collapsed="false">
      <c r="A90" s="13"/>
      <c r="B90" s="13"/>
      <c r="C90" s="13"/>
      <c r="D90" s="9" t="s">
        <v>148</v>
      </c>
      <c r="E90" s="9" t="n">
        <f aca="false">INDEX(Catalogo!$B$6:$B$156,MATCH($D90,Catalogo!$A$6:$A$156,0))</f>
        <v>2</v>
      </c>
      <c r="F90" s="9" t="n">
        <f aca="false">INDEX(Catalogo!$D$6:$D$156,MATCH($D90,Catalogo!$A$6:$A$156,0))</f>
        <v>11</v>
      </c>
      <c r="G90" s="9" t="str">
        <f aca="false">INDEX(Catalogo!$G$6:$G$156,MATCH($D90,Catalogo!$A$6:$A$156,0))</f>
        <v>Nao iniciado</v>
      </c>
      <c r="H90" s="16"/>
    </row>
    <row r="91" customFormat="false" ht="15" hidden="false" customHeight="true" outlineLevel="0" collapsed="false">
      <c r="A91" s="17" t="n">
        <v>44</v>
      </c>
      <c r="B91" s="18" t="s">
        <v>353</v>
      </c>
      <c r="C91" s="15"/>
      <c r="D91" s="19" t="s">
        <v>151</v>
      </c>
      <c r="E91" s="19" t="n">
        <f aca="false">INDEX(Catalogo!$B$6:$B$156,MATCH($D91,Catalogo!$A$6:$A$156,0))</f>
        <v>2</v>
      </c>
      <c r="F91" s="19" t="n">
        <f aca="false">INDEX(Catalogo!$D$6:$D$156,MATCH($D91,Catalogo!$A$6:$A$156,0))</f>
        <v>11</v>
      </c>
      <c r="G91" s="19" t="str">
        <f aca="false">INDEX(Catalogo!$G$6:$G$156,MATCH($D91,Catalogo!$A$6:$A$156,0))</f>
        <v>Nao iniciado</v>
      </c>
      <c r="H91" s="20" t="n">
        <f aca="false">SUM(F91:F92)</f>
        <v>23</v>
      </c>
    </row>
    <row r="92" customFormat="false" ht="15" hidden="false" customHeight="false" outlineLevel="0" collapsed="false">
      <c r="A92" s="17"/>
      <c r="B92" s="17"/>
      <c r="C92" s="17"/>
      <c r="D92" s="19" t="s">
        <v>142</v>
      </c>
      <c r="E92" s="19" t="n">
        <f aca="false">INDEX(Catalogo!$B$6:$B$156,MATCH($D92,Catalogo!$A$6:$A$156,0))</f>
        <v>2</v>
      </c>
      <c r="F92" s="19" t="n">
        <f aca="false">INDEX(Catalogo!$D$6:$D$156,MATCH($D92,Catalogo!$A$6:$A$156,0))</f>
        <v>12</v>
      </c>
      <c r="G92" s="19" t="str">
        <f aca="false">INDEX(Catalogo!$G$6:$G$156,MATCH($D92,Catalogo!$A$6:$A$156,0))</f>
        <v>Nao iniciado</v>
      </c>
      <c r="H92" s="20"/>
    </row>
    <row r="93" customFormat="false" ht="15" hidden="false" customHeight="true" outlineLevel="0" collapsed="false">
      <c r="A93" s="13" t="n">
        <v>45</v>
      </c>
      <c r="B93" s="14" t="s">
        <v>353</v>
      </c>
      <c r="C93" s="15"/>
      <c r="D93" s="9" t="s">
        <v>145</v>
      </c>
      <c r="E93" s="9" t="n">
        <f aca="false">INDEX(Catalogo!$B$6:$B$156,MATCH($D93,Catalogo!$A$6:$A$156,0))</f>
        <v>2</v>
      </c>
      <c r="F93" s="9" t="n">
        <f aca="false">INDEX(Catalogo!$D$6:$D$156,MATCH($D93,Catalogo!$A$6:$A$156,0))</f>
        <v>12</v>
      </c>
      <c r="G93" s="9" t="str">
        <f aca="false">INDEX(Catalogo!$G$6:$G$156,MATCH($D93,Catalogo!$A$6:$A$156,0))</f>
        <v>Nao iniciado</v>
      </c>
      <c r="H93" s="16" t="n">
        <f aca="false">SUM(F93:F94)</f>
        <v>24</v>
      </c>
    </row>
    <row r="94" customFormat="false" ht="15" hidden="false" customHeight="false" outlineLevel="0" collapsed="false">
      <c r="A94" s="13"/>
      <c r="B94" s="13"/>
      <c r="C94" s="13"/>
      <c r="D94" s="9" t="s">
        <v>293</v>
      </c>
      <c r="E94" s="9" t="n">
        <f aca="false">INDEX(Catalogo!$B$6:$B$156,MATCH($D94,Catalogo!$A$6:$A$156,0))</f>
        <v>3</v>
      </c>
      <c r="F94" s="9" t="n">
        <f aca="false">INDEX(Catalogo!$D$6:$D$156,MATCH($D94,Catalogo!$A$6:$A$156,0))</f>
        <v>12</v>
      </c>
      <c r="G94" s="9" t="str">
        <f aca="false">INDEX(Catalogo!$G$6:$G$156,MATCH($D94,Catalogo!$A$6:$A$156,0))</f>
        <v>Nao iniciado</v>
      </c>
      <c r="H94" s="16"/>
    </row>
    <row r="95" customFormat="false" ht="15" hidden="false" customHeight="true" outlineLevel="0" collapsed="false">
      <c r="A95" s="17" t="n">
        <v>46</v>
      </c>
      <c r="B95" s="18" t="s">
        <v>353</v>
      </c>
      <c r="C95" s="15"/>
      <c r="D95" s="19" t="s">
        <v>294</v>
      </c>
      <c r="E95" s="19" t="n">
        <f aca="false">INDEX(Catalogo!$B$6:$B$156,MATCH($D95,Catalogo!$A$6:$A$156,0))</f>
        <v>3</v>
      </c>
      <c r="F95" s="19" t="n">
        <f aca="false">INDEX(Catalogo!$D$6:$D$156,MATCH($D95,Catalogo!$A$6:$A$156,0))</f>
        <v>12</v>
      </c>
      <c r="G95" s="19" t="str">
        <f aca="false">INDEX(Catalogo!$G$6:$G$156,MATCH($D95,Catalogo!$A$6:$A$156,0))</f>
        <v>Nao iniciado</v>
      </c>
      <c r="H95" s="20" t="n">
        <f aca="false">SUM(F95:F96)</f>
        <v>24</v>
      </c>
    </row>
    <row r="96" customFormat="false" ht="15" hidden="false" customHeight="false" outlineLevel="0" collapsed="false">
      <c r="A96" s="17"/>
      <c r="B96" s="17"/>
      <c r="C96" s="17"/>
      <c r="D96" s="19" t="s">
        <v>295</v>
      </c>
      <c r="E96" s="19" t="n">
        <f aca="false">INDEX(Catalogo!$B$6:$B$156,MATCH($D96,Catalogo!$A$6:$A$156,0))</f>
        <v>3</v>
      </c>
      <c r="F96" s="19" t="n">
        <f aca="false">INDEX(Catalogo!$D$6:$D$156,MATCH($D96,Catalogo!$A$6:$A$156,0))</f>
        <v>12</v>
      </c>
      <c r="G96" s="19" t="str">
        <f aca="false">INDEX(Catalogo!$G$6:$G$156,MATCH($D96,Catalogo!$A$6:$A$156,0))</f>
        <v>Nao iniciado</v>
      </c>
      <c r="H96" s="20"/>
    </row>
    <row r="97" customFormat="false" ht="15" hidden="false" customHeight="true" outlineLevel="0" collapsed="false">
      <c r="A97" s="13" t="n">
        <v>47</v>
      </c>
      <c r="B97" s="14" t="s">
        <v>353</v>
      </c>
      <c r="C97" s="15"/>
      <c r="D97" s="9" t="s">
        <v>296</v>
      </c>
      <c r="E97" s="9" t="n">
        <f aca="false">INDEX(Catalogo!$B$6:$B$156,MATCH($D97,Catalogo!$A$6:$A$156,0))</f>
        <v>3</v>
      </c>
      <c r="F97" s="9" t="n">
        <f aca="false">INDEX(Catalogo!$D$6:$D$156,MATCH($D97,Catalogo!$A$6:$A$156,0))</f>
        <v>12</v>
      </c>
      <c r="G97" s="9" t="str">
        <f aca="false">INDEX(Catalogo!$G$6:$G$156,MATCH($D97,Catalogo!$A$6:$A$156,0))</f>
        <v>Nao iniciado</v>
      </c>
      <c r="H97" s="16" t="n">
        <f aca="false">SUM(F97:F98)</f>
        <v>24</v>
      </c>
    </row>
    <row r="98" customFormat="false" ht="15" hidden="false" customHeight="false" outlineLevel="0" collapsed="false">
      <c r="A98" s="13"/>
      <c r="B98" s="13"/>
      <c r="C98" s="13"/>
      <c r="D98" s="9" t="s">
        <v>298</v>
      </c>
      <c r="E98" s="9" t="n">
        <f aca="false">INDEX(Catalogo!$B$6:$B$156,MATCH($D98,Catalogo!$A$6:$A$156,0))</f>
        <v>3</v>
      </c>
      <c r="F98" s="9" t="n">
        <f aca="false">INDEX(Catalogo!$D$6:$D$156,MATCH($D98,Catalogo!$A$6:$A$156,0))</f>
        <v>12</v>
      </c>
      <c r="G98" s="9" t="str">
        <f aca="false">INDEX(Catalogo!$G$6:$G$156,MATCH($D98,Catalogo!$A$6:$A$156,0))</f>
        <v>Nao iniciado</v>
      </c>
      <c r="H98" s="16"/>
    </row>
    <row r="99" customFormat="false" ht="15" hidden="false" customHeight="true" outlineLevel="0" collapsed="false">
      <c r="A99" s="17" t="n">
        <v>48</v>
      </c>
      <c r="B99" s="18" t="s">
        <v>353</v>
      </c>
      <c r="C99" s="15"/>
      <c r="D99" s="19" t="s">
        <v>299</v>
      </c>
      <c r="E99" s="19" t="n">
        <f aca="false">INDEX(Catalogo!$B$6:$B$156,MATCH($D99,Catalogo!$A$6:$A$156,0))</f>
        <v>3</v>
      </c>
      <c r="F99" s="19" t="n">
        <f aca="false">INDEX(Catalogo!$D$6:$D$156,MATCH($D99,Catalogo!$A$6:$A$156,0))</f>
        <v>12</v>
      </c>
      <c r="G99" s="19" t="str">
        <f aca="false">INDEX(Catalogo!$G$6:$G$156,MATCH($D99,Catalogo!$A$6:$A$156,0))</f>
        <v>Nao iniciado</v>
      </c>
      <c r="H99" s="20" t="n">
        <f aca="false">SUM(F99:F100)</f>
        <v>24</v>
      </c>
    </row>
    <row r="100" customFormat="false" ht="15" hidden="false" customHeight="false" outlineLevel="0" collapsed="false">
      <c r="A100" s="17"/>
      <c r="B100" s="17"/>
      <c r="C100" s="17"/>
      <c r="D100" s="19" t="s">
        <v>300</v>
      </c>
      <c r="E100" s="19" t="n">
        <f aca="false">INDEX(Catalogo!$B$6:$B$156,MATCH($D100,Catalogo!$A$6:$A$156,0))</f>
        <v>3</v>
      </c>
      <c r="F100" s="19" t="n">
        <f aca="false">INDEX(Catalogo!$D$6:$D$156,MATCH($D100,Catalogo!$A$6:$A$156,0))</f>
        <v>12</v>
      </c>
      <c r="G100" s="19" t="str">
        <f aca="false">INDEX(Catalogo!$G$6:$G$156,MATCH($D100,Catalogo!$A$6:$A$156,0))</f>
        <v>Nao iniciado</v>
      </c>
      <c r="H100" s="20"/>
    </row>
    <row r="101" customFormat="false" ht="15" hidden="false" customHeight="true" outlineLevel="0" collapsed="false">
      <c r="A101" s="13" t="n">
        <v>49</v>
      </c>
      <c r="B101" s="14" t="s">
        <v>353</v>
      </c>
      <c r="C101" s="15"/>
      <c r="D101" s="9" t="s">
        <v>285</v>
      </c>
      <c r="E101" s="9" t="n">
        <f aca="false">INDEX(Catalogo!$B$6:$B$156,MATCH($D101,Catalogo!$A$6:$A$156,0))</f>
        <v>3</v>
      </c>
      <c r="F101" s="9" t="n">
        <f aca="false">INDEX(Catalogo!$D$6:$D$156,MATCH($D101,Catalogo!$A$6:$A$156,0))</f>
        <v>13</v>
      </c>
      <c r="G101" s="9" t="str">
        <f aca="false">INDEX(Catalogo!$G$6:$G$156,MATCH($D101,Catalogo!$A$6:$A$156,0))</f>
        <v>Nao iniciado</v>
      </c>
      <c r="H101" s="16" t="n">
        <f aca="false">SUM(F101:F102)</f>
        <v>26</v>
      </c>
    </row>
    <row r="102" customFormat="false" ht="15" hidden="false" customHeight="false" outlineLevel="0" collapsed="false">
      <c r="A102" s="13"/>
      <c r="B102" s="13"/>
      <c r="C102" s="13"/>
      <c r="D102" s="9" t="s">
        <v>286</v>
      </c>
      <c r="E102" s="9" t="n">
        <f aca="false">INDEX(Catalogo!$B$6:$B$156,MATCH($D102,Catalogo!$A$6:$A$156,0))</f>
        <v>3</v>
      </c>
      <c r="F102" s="9" t="n">
        <f aca="false">INDEX(Catalogo!$D$6:$D$156,MATCH($D102,Catalogo!$A$6:$A$156,0))</f>
        <v>13</v>
      </c>
      <c r="G102" s="9" t="str">
        <f aca="false">INDEX(Catalogo!$G$6:$G$156,MATCH($D102,Catalogo!$A$6:$A$156,0))</f>
        <v>Nao iniciado</v>
      </c>
      <c r="H102" s="16"/>
    </row>
    <row r="103" customFormat="false" ht="15" hidden="false" customHeight="true" outlineLevel="0" collapsed="false">
      <c r="A103" s="17" t="n">
        <v>50</v>
      </c>
      <c r="B103" s="18" t="s">
        <v>353</v>
      </c>
      <c r="C103" s="15"/>
      <c r="D103" s="19" t="s">
        <v>288</v>
      </c>
      <c r="E103" s="19" t="n">
        <f aca="false">INDEX(Catalogo!$B$6:$B$156,MATCH($D103,Catalogo!$A$6:$A$156,0))</f>
        <v>3</v>
      </c>
      <c r="F103" s="19" t="n">
        <f aca="false">INDEX(Catalogo!$D$6:$D$156,MATCH($D103,Catalogo!$A$6:$A$156,0))</f>
        <v>13</v>
      </c>
      <c r="G103" s="19" t="str">
        <f aca="false">INDEX(Catalogo!$G$6:$G$156,MATCH($D103,Catalogo!$A$6:$A$156,0))</f>
        <v>Nao iniciado</v>
      </c>
      <c r="H103" s="20" t="n">
        <f aca="false">SUM(F103:F104)</f>
        <v>26</v>
      </c>
    </row>
    <row r="104" customFormat="false" ht="15" hidden="false" customHeight="false" outlineLevel="0" collapsed="false">
      <c r="A104" s="17"/>
      <c r="B104" s="17"/>
      <c r="C104" s="17"/>
      <c r="D104" s="19" t="s">
        <v>289</v>
      </c>
      <c r="E104" s="19" t="n">
        <f aca="false">INDEX(Catalogo!$B$6:$B$156,MATCH($D104,Catalogo!$A$6:$A$156,0))</f>
        <v>3</v>
      </c>
      <c r="F104" s="19" t="n">
        <f aca="false">INDEX(Catalogo!$D$6:$D$156,MATCH($D104,Catalogo!$A$6:$A$156,0))</f>
        <v>13</v>
      </c>
      <c r="G104" s="19" t="str">
        <f aca="false">INDEX(Catalogo!$G$6:$G$156,MATCH($D104,Catalogo!$A$6:$A$156,0))</f>
        <v>Nao iniciado</v>
      </c>
      <c r="H104" s="20"/>
    </row>
    <row r="105" customFormat="false" ht="15" hidden="false" customHeight="true" outlineLevel="0" collapsed="false">
      <c r="A105" s="13" t="n">
        <v>51</v>
      </c>
      <c r="B105" s="14" t="s">
        <v>353</v>
      </c>
      <c r="C105" s="15"/>
      <c r="D105" s="9" t="s">
        <v>291</v>
      </c>
      <c r="E105" s="9" t="n">
        <f aca="false">INDEX(Catalogo!$B$6:$B$156,MATCH($D105,Catalogo!$A$6:$A$156,0))</f>
        <v>3</v>
      </c>
      <c r="F105" s="9" t="n">
        <f aca="false">INDEX(Catalogo!$D$6:$D$156,MATCH($D105,Catalogo!$A$6:$A$156,0))</f>
        <v>13</v>
      </c>
      <c r="G105" s="9" t="str">
        <f aca="false">INDEX(Catalogo!$G$6:$G$156,MATCH($D105,Catalogo!$A$6:$A$156,0))</f>
        <v>Nao iniciado</v>
      </c>
      <c r="H105" s="16" t="n">
        <f aca="false">SUM(F105:F106)</f>
        <v>27</v>
      </c>
    </row>
    <row r="106" customFormat="false" ht="15" hidden="false" customHeight="false" outlineLevel="0" collapsed="false">
      <c r="A106" s="13"/>
      <c r="B106" s="13"/>
      <c r="C106" s="13"/>
      <c r="D106" s="9" t="s">
        <v>283</v>
      </c>
      <c r="E106" s="9" t="n">
        <f aca="false">INDEX(Catalogo!$B$6:$B$156,MATCH($D106,Catalogo!$A$6:$A$156,0))</f>
        <v>3</v>
      </c>
      <c r="F106" s="9" t="n">
        <f aca="false">INDEX(Catalogo!$D$6:$D$156,MATCH($D106,Catalogo!$A$6:$A$156,0))</f>
        <v>14</v>
      </c>
      <c r="G106" s="9" t="str">
        <f aca="false">INDEX(Catalogo!$G$6:$G$156,MATCH($D106,Catalogo!$A$6:$A$156,0))</f>
        <v>Nao iniciado</v>
      </c>
      <c r="H106" s="16"/>
    </row>
    <row r="107" customFormat="false" ht="15" hidden="false" customHeight="true" outlineLevel="0" collapsed="false">
      <c r="A107" s="17" t="n">
        <v>52</v>
      </c>
      <c r="B107" s="18" t="s">
        <v>353</v>
      </c>
      <c r="C107" s="15"/>
      <c r="D107" s="19" t="s">
        <v>284</v>
      </c>
      <c r="E107" s="19" t="n">
        <f aca="false">INDEX(Catalogo!$B$6:$B$156,MATCH($D107,Catalogo!$A$6:$A$156,0))</f>
        <v>3</v>
      </c>
      <c r="F107" s="19" t="n">
        <f aca="false">INDEX(Catalogo!$D$6:$D$156,MATCH($D107,Catalogo!$A$6:$A$156,0))</f>
        <v>14</v>
      </c>
      <c r="G107" s="19" t="str">
        <f aca="false">INDEX(Catalogo!$G$6:$G$156,MATCH($D107,Catalogo!$A$6:$A$156,0))</f>
        <v>Nao iniciado</v>
      </c>
      <c r="H107" s="20" t="n">
        <f aca="false">SUM(F107:F108)</f>
        <v>29</v>
      </c>
    </row>
    <row r="108" customFormat="false" ht="15" hidden="false" customHeight="false" outlineLevel="0" collapsed="false">
      <c r="A108" s="17"/>
      <c r="B108" s="17"/>
      <c r="C108" s="17"/>
      <c r="D108" s="19" t="s">
        <v>138</v>
      </c>
      <c r="E108" s="19" t="n">
        <f aca="false">INDEX(Catalogo!$B$6:$B$156,MATCH($D108,Catalogo!$A$6:$A$156,0))</f>
        <v>2</v>
      </c>
      <c r="F108" s="19" t="n">
        <f aca="false">INDEX(Catalogo!$D$6:$D$156,MATCH($D108,Catalogo!$A$6:$A$156,0))</f>
        <v>15</v>
      </c>
      <c r="G108" s="19" t="str">
        <f aca="false">INDEX(Catalogo!$G$6:$G$156,MATCH($D108,Catalogo!$A$6:$A$156,0))</f>
        <v>Nao iniciado</v>
      </c>
      <c r="H108" s="20"/>
    </row>
    <row r="109" customFormat="false" ht="15" hidden="false" customHeight="true" outlineLevel="0" collapsed="false">
      <c r="A109" s="13" t="n">
        <v>53</v>
      </c>
      <c r="B109" s="14" t="s">
        <v>353</v>
      </c>
      <c r="C109" s="15"/>
      <c r="D109" s="9" t="s">
        <v>266</v>
      </c>
      <c r="E109" s="9" t="n">
        <f aca="false">INDEX(Catalogo!$B$6:$B$156,MATCH($D109,Catalogo!$A$6:$A$156,0))</f>
        <v>3</v>
      </c>
      <c r="F109" s="9" t="n">
        <f aca="false">INDEX(Catalogo!$D$6:$D$156,MATCH($D109,Catalogo!$A$6:$A$156,0))</f>
        <v>15</v>
      </c>
      <c r="G109" s="9" t="str">
        <f aca="false">INDEX(Catalogo!$G$6:$G$156,MATCH($D109,Catalogo!$A$6:$A$156,0))</f>
        <v>Nao iniciado</v>
      </c>
      <c r="H109" s="16" t="n">
        <f aca="false">SUM(F109:F110)</f>
        <v>30</v>
      </c>
    </row>
    <row r="110" customFormat="false" ht="15" hidden="false" customHeight="false" outlineLevel="0" collapsed="false">
      <c r="A110" s="13"/>
      <c r="B110" s="13"/>
      <c r="C110" s="13"/>
      <c r="D110" s="9" t="s">
        <v>267</v>
      </c>
      <c r="E110" s="9" t="n">
        <f aca="false">INDEX(Catalogo!$B$6:$B$156,MATCH($D110,Catalogo!$A$6:$A$156,0))</f>
        <v>3</v>
      </c>
      <c r="F110" s="9" t="n">
        <f aca="false">INDEX(Catalogo!$D$6:$D$156,MATCH($D110,Catalogo!$A$6:$A$156,0))</f>
        <v>15</v>
      </c>
      <c r="G110" s="9" t="str">
        <f aca="false">INDEX(Catalogo!$G$6:$G$156,MATCH($D110,Catalogo!$A$6:$A$156,0))</f>
        <v>Nao iniciado</v>
      </c>
      <c r="H110" s="16"/>
    </row>
    <row r="111" customFormat="false" ht="15" hidden="false" customHeight="true" outlineLevel="0" collapsed="false">
      <c r="A111" s="17" t="n">
        <v>54</v>
      </c>
      <c r="B111" s="18" t="s">
        <v>353</v>
      </c>
      <c r="C111" s="15"/>
      <c r="D111" s="19" t="s">
        <v>268</v>
      </c>
      <c r="E111" s="19" t="n">
        <f aca="false">INDEX(Catalogo!$B$6:$B$156,MATCH($D111,Catalogo!$A$6:$A$156,0))</f>
        <v>3</v>
      </c>
      <c r="F111" s="19" t="n">
        <f aca="false">INDEX(Catalogo!$D$6:$D$156,MATCH($D111,Catalogo!$A$6:$A$156,0))</f>
        <v>15</v>
      </c>
      <c r="G111" s="19" t="str">
        <f aca="false">INDEX(Catalogo!$G$6:$G$156,MATCH($D111,Catalogo!$A$6:$A$156,0))</f>
        <v>Nao iniciado</v>
      </c>
      <c r="H111" s="20" t="n">
        <f aca="false">SUM(F111:F112)</f>
        <v>30</v>
      </c>
    </row>
    <row r="112" customFormat="false" ht="15" hidden="false" customHeight="false" outlineLevel="0" collapsed="false">
      <c r="A112" s="17"/>
      <c r="B112" s="17"/>
      <c r="C112" s="17"/>
      <c r="D112" s="19" t="s">
        <v>270</v>
      </c>
      <c r="E112" s="19" t="n">
        <f aca="false">INDEX(Catalogo!$B$6:$B$156,MATCH($D112,Catalogo!$A$6:$A$156,0))</f>
        <v>3</v>
      </c>
      <c r="F112" s="19" t="n">
        <f aca="false">INDEX(Catalogo!$D$6:$D$156,MATCH($D112,Catalogo!$A$6:$A$156,0))</f>
        <v>15</v>
      </c>
      <c r="G112" s="19" t="str">
        <f aca="false">INDEX(Catalogo!$G$6:$G$156,MATCH($D112,Catalogo!$A$6:$A$156,0))</f>
        <v>Nao iniciado</v>
      </c>
      <c r="H112" s="20"/>
    </row>
    <row r="113" customFormat="false" ht="15" hidden="false" customHeight="true" outlineLevel="0" collapsed="false">
      <c r="A113" s="13" t="n">
        <v>55</v>
      </c>
      <c r="B113" s="14" t="s">
        <v>353</v>
      </c>
      <c r="C113" s="15"/>
      <c r="D113" s="9" t="s">
        <v>273</v>
      </c>
      <c r="E113" s="9" t="n">
        <f aca="false">INDEX(Catalogo!$B$6:$B$156,MATCH($D113,Catalogo!$A$6:$A$156,0))</f>
        <v>3</v>
      </c>
      <c r="F113" s="9" t="n">
        <f aca="false">INDEX(Catalogo!$D$6:$D$156,MATCH($D113,Catalogo!$A$6:$A$156,0))</f>
        <v>15</v>
      </c>
      <c r="G113" s="9" t="str">
        <f aca="false">INDEX(Catalogo!$G$6:$G$156,MATCH($D113,Catalogo!$A$6:$A$156,0))</f>
        <v>Nao iniciado</v>
      </c>
      <c r="H113" s="16" t="n">
        <f aca="false">SUM(F113:F114)</f>
        <v>30</v>
      </c>
    </row>
    <row r="114" customFormat="false" ht="15" hidden="false" customHeight="false" outlineLevel="0" collapsed="false">
      <c r="A114" s="13"/>
      <c r="B114" s="13"/>
      <c r="C114" s="13"/>
      <c r="D114" s="9" t="s">
        <v>274</v>
      </c>
      <c r="E114" s="9" t="n">
        <f aca="false">INDEX(Catalogo!$B$6:$B$156,MATCH($D114,Catalogo!$A$6:$A$156,0))</f>
        <v>3</v>
      </c>
      <c r="F114" s="9" t="n">
        <f aca="false">INDEX(Catalogo!$D$6:$D$156,MATCH($D114,Catalogo!$A$6:$A$156,0))</f>
        <v>15</v>
      </c>
      <c r="G114" s="9" t="str">
        <f aca="false">INDEX(Catalogo!$G$6:$G$156,MATCH($D114,Catalogo!$A$6:$A$156,0))</f>
        <v>Nao iniciado</v>
      </c>
      <c r="H114" s="16"/>
    </row>
    <row r="115" customFormat="false" ht="15" hidden="false" customHeight="true" outlineLevel="0" collapsed="false">
      <c r="A115" s="17" t="n">
        <v>56</v>
      </c>
      <c r="B115" s="18" t="s">
        <v>353</v>
      </c>
      <c r="C115" s="15"/>
      <c r="D115" s="19" t="s">
        <v>275</v>
      </c>
      <c r="E115" s="19" t="n">
        <f aca="false">INDEX(Catalogo!$B$6:$B$156,MATCH($D115,Catalogo!$A$6:$A$156,0))</f>
        <v>3</v>
      </c>
      <c r="F115" s="19" t="n">
        <f aca="false">INDEX(Catalogo!$D$6:$D$156,MATCH($D115,Catalogo!$A$6:$A$156,0))</f>
        <v>15</v>
      </c>
      <c r="G115" s="19" t="str">
        <f aca="false">INDEX(Catalogo!$G$6:$G$156,MATCH($D115,Catalogo!$A$6:$A$156,0))</f>
        <v>Nao iniciado</v>
      </c>
      <c r="H115" s="20" t="n">
        <f aca="false">SUM(F115:F116)</f>
        <v>30</v>
      </c>
    </row>
    <row r="116" customFormat="false" ht="15" hidden="false" customHeight="false" outlineLevel="0" collapsed="false">
      <c r="A116" s="17"/>
      <c r="B116" s="17"/>
      <c r="C116" s="17"/>
      <c r="D116" s="19" t="s">
        <v>278</v>
      </c>
      <c r="E116" s="19" t="n">
        <f aca="false">INDEX(Catalogo!$B$6:$B$156,MATCH($D116,Catalogo!$A$6:$A$156,0))</f>
        <v>3</v>
      </c>
      <c r="F116" s="19" t="n">
        <f aca="false">INDEX(Catalogo!$D$6:$D$156,MATCH($D116,Catalogo!$A$6:$A$156,0))</f>
        <v>15</v>
      </c>
      <c r="G116" s="19" t="str">
        <f aca="false">INDEX(Catalogo!$G$6:$G$156,MATCH($D116,Catalogo!$A$6:$A$156,0))</f>
        <v>Nao iniciado</v>
      </c>
      <c r="H116" s="20"/>
    </row>
    <row r="117" customFormat="false" ht="15" hidden="false" customHeight="true" outlineLevel="0" collapsed="false">
      <c r="A117" s="13" t="n">
        <v>57</v>
      </c>
      <c r="B117" s="14" t="s">
        <v>353</v>
      </c>
      <c r="C117" s="15"/>
      <c r="D117" s="9" t="s">
        <v>280</v>
      </c>
      <c r="E117" s="9" t="n">
        <f aca="false">INDEX(Catalogo!$B$6:$B$156,MATCH($D117,Catalogo!$A$6:$A$156,0))</f>
        <v>3</v>
      </c>
      <c r="F117" s="9" t="n">
        <f aca="false">INDEX(Catalogo!$D$6:$D$156,MATCH($D117,Catalogo!$A$6:$A$156,0))</f>
        <v>15</v>
      </c>
      <c r="G117" s="9" t="str">
        <f aca="false">INDEX(Catalogo!$G$6:$G$156,MATCH($D117,Catalogo!$A$6:$A$156,0))</f>
        <v>Nao iniciado</v>
      </c>
      <c r="H117" s="16" t="n">
        <f aca="false">SUM(F117:F118)</f>
        <v>30</v>
      </c>
    </row>
    <row r="118" customFormat="false" ht="15" hidden="false" customHeight="false" outlineLevel="0" collapsed="false">
      <c r="A118" s="13"/>
      <c r="B118" s="13"/>
      <c r="C118" s="13"/>
      <c r="D118" s="9" t="s">
        <v>282</v>
      </c>
      <c r="E118" s="9" t="n">
        <f aca="false">INDEX(Catalogo!$B$6:$B$156,MATCH($D118,Catalogo!$A$6:$A$156,0))</f>
        <v>3</v>
      </c>
      <c r="F118" s="9" t="n">
        <f aca="false">INDEX(Catalogo!$D$6:$D$156,MATCH($D118,Catalogo!$A$6:$A$156,0))</f>
        <v>15</v>
      </c>
      <c r="G118" s="9" t="str">
        <f aca="false">INDEX(Catalogo!$G$6:$G$156,MATCH($D118,Catalogo!$A$6:$A$156,0))</f>
        <v>Nao iniciado</v>
      </c>
      <c r="H118" s="16"/>
    </row>
    <row r="119" customFormat="false" ht="15" hidden="false" customHeight="true" outlineLevel="0" collapsed="false">
      <c r="A119" s="17" t="n">
        <v>58</v>
      </c>
      <c r="B119" s="18" t="s">
        <v>354</v>
      </c>
      <c r="C119" s="15"/>
      <c r="D119" s="19" t="s">
        <v>264</v>
      </c>
      <c r="E119" s="19" t="n">
        <f aca="false">INDEX(Catalogo!$B$6:$B$156,MATCH($D119,Catalogo!$A$6:$A$156,0))</f>
        <v>3</v>
      </c>
      <c r="F119" s="19" t="n">
        <f aca="false">INDEX(Catalogo!$D$6:$D$156,MATCH($D119,Catalogo!$A$6:$A$156,0))</f>
        <v>16</v>
      </c>
      <c r="G119" s="19" t="str">
        <f aca="false">INDEX(Catalogo!$G$6:$G$156,MATCH($D119,Catalogo!$A$6:$A$156,0))</f>
        <v>Nao iniciado</v>
      </c>
      <c r="H119" s="20" t="n">
        <f aca="false">SUM(F119:F120)</f>
        <v>32</v>
      </c>
    </row>
    <row r="120" customFormat="false" ht="15" hidden="false" customHeight="false" outlineLevel="0" collapsed="false">
      <c r="A120" s="17"/>
      <c r="B120" s="17"/>
      <c r="C120" s="17"/>
      <c r="D120" s="19" t="s">
        <v>265</v>
      </c>
      <c r="E120" s="19" t="n">
        <f aca="false">INDEX(Catalogo!$B$6:$B$156,MATCH($D120,Catalogo!$A$6:$A$156,0))</f>
        <v>3</v>
      </c>
      <c r="F120" s="19" t="n">
        <f aca="false">INDEX(Catalogo!$D$6:$D$156,MATCH($D120,Catalogo!$A$6:$A$156,0))</f>
        <v>16</v>
      </c>
      <c r="G120" s="19" t="str">
        <f aca="false">INDEX(Catalogo!$G$6:$G$156,MATCH($D120,Catalogo!$A$6:$A$156,0))</f>
        <v>Nao iniciado</v>
      </c>
      <c r="H120" s="20"/>
    </row>
    <row r="121" customFormat="false" ht="15" hidden="false" customHeight="true" outlineLevel="0" collapsed="false">
      <c r="A121" s="13" t="n">
        <v>59</v>
      </c>
      <c r="B121" s="14" t="s">
        <v>354</v>
      </c>
      <c r="C121" s="15"/>
      <c r="D121" s="9" t="s">
        <v>261</v>
      </c>
      <c r="E121" s="9" t="n">
        <f aca="false">INDEX(Catalogo!$B$6:$B$156,MATCH($D121,Catalogo!$A$6:$A$156,0))</f>
        <v>3</v>
      </c>
      <c r="F121" s="9" t="n">
        <f aca="false">INDEX(Catalogo!$D$6:$D$156,MATCH($D121,Catalogo!$A$6:$A$156,0))</f>
        <v>17</v>
      </c>
      <c r="G121" s="9" t="str">
        <f aca="false">INDEX(Catalogo!$G$6:$G$156,MATCH($D121,Catalogo!$A$6:$A$156,0))</f>
        <v>Nao iniciado</v>
      </c>
      <c r="H121" s="16" t="n">
        <f aca="false">SUM(F121:F122)</f>
        <v>34</v>
      </c>
    </row>
    <row r="122" customFormat="false" ht="15" hidden="false" customHeight="false" outlineLevel="0" collapsed="false">
      <c r="A122" s="13"/>
      <c r="B122" s="13"/>
      <c r="C122" s="13"/>
      <c r="D122" s="9" t="s">
        <v>263</v>
      </c>
      <c r="E122" s="9" t="n">
        <f aca="false">INDEX(Catalogo!$B$6:$B$156,MATCH($D122,Catalogo!$A$6:$A$156,0))</f>
        <v>3</v>
      </c>
      <c r="F122" s="9" t="n">
        <f aca="false">INDEX(Catalogo!$D$6:$D$156,MATCH($D122,Catalogo!$A$6:$A$156,0))</f>
        <v>17</v>
      </c>
      <c r="G122" s="9" t="str">
        <f aca="false">INDEX(Catalogo!$G$6:$G$156,MATCH($D122,Catalogo!$A$6:$A$156,0))</f>
        <v>Nao iniciado</v>
      </c>
      <c r="H122" s="16"/>
    </row>
    <row r="123" customFormat="false" ht="15" hidden="false" customHeight="true" outlineLevel="0" collapsed="false">
      <c r="A123" s="17" t="n">
        <v>60</v>
      </c>
      <c r="B123" s="18" t="s">
        <v>354</v>
      </c>
      <c r="C123" s="15"/>
      <c r="D123" s="19" t="s">
        <v>258</v>
      </c>
      <c r="E123" s="19" t="n">
        <f aca="false">INDEX(Catalogo!$B$6:$B$156,MATCH($D123,Catalogo!$A$6:$A$156,0))</f>
        <v>3</v>
      </c>
      <c r="F123" s="19" t="n">
        <f aca="false">INDEX(Catalogo!$D$6:$D$156,MATCH($D123,Catalogo!$A$6:$A$156,0))</f>
        <v>18</v>
      </c>
      <c r="G123" s="19" t="str">
        <f aca="false">INDEX(Catalogo!$G$6:$G$156,MATCH($D123,Catalogo!$A$6:$A$156,0))</f>
        <v>Nao iniciado</v>
      </c>
      <c r="H123" s="20" t="n">
        <f aca="false">SUM(F123:F124)</f>
        <v>36</v>
      </c>
    </row>
    <row r="124" customFormat="false" ht="15" hidden="false" customHeight="false" outlineLevel="0" collapsed="false">
      <c r="A124" s="17"/>
      <c r="B124" s="17"/>
      <c r="C124" s="17"/>
      <c r="D124" s="19" t="s">
        <v>259</v>
      </c>
      <c r="E124" s="19" t="n">
        <f aca="false">INDEX(Catalogo!$B$6:$B$156,MATCH($D124,Catalogo!$A$6:$A$156,0))</f>
        <v>3</v>
      </c>
      <c r="F124" s="19" t="n">
        <f aca="false">INDEX(Catalogo!$D$6:$D$156,MATCH($D124,Catalogo!$A$6:$A$156,0))</f>
        <v>18</v>
      </c>
      <c r="G124" s="19" t="str">
        <f aca="false">INDEX(Catalogo!$G$6:$G$156,MATCH($D124,Catalogo!$A$6:$A$156,0))</f>
        <v>Nao iniciado</v>
      </c>
      <c r="H124" s="20"/>
    </row>
    <row r="125" customFormat="false" ht="15" hidden="false" customHeight="true" outlineLevel="0" collapsed="false">
      <c r="A125" s="13" t="n">
        <v>61</v>
      </c>
      <c r="B125" s="14" t="s">
        <v>354</v>
      </c>
      <c r="C125" s="15"/>
      <c r="D125" s="9" t="s">
        <v>260</v>
      </c>
      <c r="E125" s="9" t="n">
        <f aca="false">INDEX(Catalogo!$B$6:$B$156,MATCH($D125,Catalogo!$A$6:$A$156,0))</f>
        <v>3</v>
      </c>
      <c r="F125" s="9" t="n">
        <f aca="false">INDEX(Catalogo!$D$6:$D$156,MATCH($D125,Catalogo!$A$6:$A$156,0))</f>
        <v>18</v>
      </c>
      <c r="G125" s="9" t="str">
        <f aca="false">INDEX(Catalogo!$G$6:$G$156,MATCH($D125,Catalogo!$A$6:$A$156,0))</f>
        <v>Nao iniciado</v>
      </c>
      <c r="H125" s="16" t="n">
        <f aca="false">SUM(F125:F126)</f>
        <v>37</v>
      </c>
    </row>
    <row r="126" customFormat="false" ht="15" hidden="false" customHeight="false" outlineLevel="0" collapsed="false">
      <c r="A126" s="13"/>
      <c r="B126" s="13"/>
      <c r="C126" s="13"/>
      <c r="D126" s="9" t="s">
        <v>256</v>
      </c>
      <c r="E126" s="9" t="n">
        <f aca="false">INDEX(Catalogo!$B$6:$B$156,MATCH($D126,Catalogo!$A$6:$A$156,0))</f>
        <v>3</v>
      </c>
      <c r="F126" s="9" t="n">
        <f aca="false">INDEX(Catalogo!$D$6:$D$156,MATCH($D126,Catalogo!$A$6:$A$156,0))</f>
        <v>19</v>
      </c>
      <c r="G126" s="9" t="str">
        <f aca="false">INDEX(Catalogo!$G$6:$G$156,MATCH($D126,Catalogo!$A$6:$A$156,0))</f>
        <v>Nao iniciado</v>
      </c>
      <c r="H126" s="16"/>
    </row>
    <row r="127" customFormat="false" ht="15" hidden="false" customHeight="true" outlineLevel="0" collapsed="false">
      <c r="A127" s="17" t="n">
        <v>62</v>
      </c>
      <c r="B127" s="18" t="s">
        <v>354</v>
      </c>
      <c r="C127" s="15"/>
      <c r="D127" s="19" t="s">
        <v>247</v>
      </c>
      <c r="E127" s="19" t="n">
        <f aca="false">INDEX(Catalogo!$B$6:$B$156,MATCH($D127,Catalogo!$A$6:$A$156,0))</f>
        <v>3</v>
      </c>
      <c r="F127" s="19" t="n">
        <f aca="false">INDEX(Catalogo!$D$6:$D$156,MATCH($D127,Catalogo!$A$6:$A$156,0))</f>
        <v>20</v>
      </c>
      <c r="G127" s="19" t="str">
        <f aca="false">INDEX(Catalogo!$G$6:$G$156,MATCH($D127,Catalogo!$A$6:$A$156,0))</f>
        <v>Nao iniciado</v>
      </c>
      <c r="H127" s="20" t="n">
        <f aca="false">SUM(F127:F128)</f>
        <v>40</v>
      </c>
    </row>
    <row r="128" customFormat="false" ht="15" hidden="false" customHeight="false" outlineLevel="0" collapsed="false">
      <c r="A128" s="17"/>
      <c r="B128" s="17"/>
      <c r="C128" s="17"/>
      <c r="D128" s="19" t="s">
        <v>249</v>
      </c>
      <c r="E128" s="19" t="n">
        <f aca="false">INDEX(Catalogo!$B$6:$B$156,MATCH($D128,Catalogo!$A$6:$A$156,0))</f>
        <v>3</v>
      </c>
      <c r="F128" s="19" t="n">
        <f aca="false">INDEX(Catalogo!$D$6:$D$156,MATCH($D128,Catalogo!$A$6:$A$156,0))</f>
        <v>20</v>
      </c>
      <c r="G128" s="19" t="str">
        <f aca="false">INDEX(Catalogo!$G$6:$G$156,MATCH($D128,Catalogo!$A$6:$A$156,0))</f>
        <v>Nao iniciado</v>
      </c>
      <c r="H128" s="20"/>
    </row>
    <row r="129" customFormat="false" ht="15" hidden="false" customHeight="true" outlineLevel="0" collapsed="false">
      <c r="A129" s="13" t="n">
        <v>63</v>
      </c>
      <c r="B129" s="14" t="s">
        <v>354</v>
      </c>
      <c r="C129" s="15"/>
      <c r="D129" s="9" t="s">
        <v>251</v>
      </c>
      <c r="E129" s="9" t="n">
        <f aca="false">INDEX(Catalogo!$B$6:$B$156,MATCH($D129,Catalogo!$A$6:$A$156,0))</f>
        <v>3</v>
      </c>
      <c r="F129" s="9" t="n">
        <f aca="false">INDEX(Catalogo!$D$6:$D$156,MATCH($D129,Catalogo!$A$6:$A$156,0))</f>
        <v>20</v>
      </c>
      <c r="G129" s="9" t="str">
        <f aca="false">INDEX(Catalogo!$G$6:$G$156,MATCH($D129,Catalogo!$A$6:$A$156,0))</f>
        <v>Nao iniciado</v>
      </c>
      <c r="H129" s="16" t="n">
        <f aca="false">SUM(F129:F130)</f>
        <v>40</v>
      </c>
    </row>
    <row r="130" customFormat="false" ht="15" hidden="false" customHeight="false" outlineLevel="0" collapsed="false">
      <c r="A130" s="13"/>
      <c r="B130" s="13"/>
      <c r="C130" s="13"/>
      <c r="D130" s="9" t="s">
        <v>253</v>
      </c>
      <c r="E130" s="9" t="n">
        <f aca="false">INDEX(Catalogo!$B$6:$B$156,MATCH($D130,Catalogo!$A$6:$A$156,0))</f>
        <v>3</v>
      </c>
      <c r="F130" s="9" t="n">
        <f aca="false">INDEX(Catalogo!$D$6:$D$156,MATCH($D130,Catalogo!$A$6:$A$156,0))</f>
        <v>20</v>
      </c>
      <c r="G130" s="9" t="str">
        <f aca="false">INDEX(Catalogo!$G$6:$G$156,MATCH($D130,Catalogo!$A$6:$A$156,0))</f>
        <v>Nao iniciado</v>
      </c>
      <c r="H130" s="16"/>
    </row>
    <row r="131" customFormat="false" ht="15" hidden="false" customHeight="true" outlineLevel="0" collapsed="false">
      <c r="A131" s="17" t="n">
        <v>64</v>
      </c>
      <c r="B131" s="18" t="s">
        <v>354</v>
      </c>
      <c r="C131" s="15"/>
      <c r="D131" s="19" t="s">
        <v>255</v>
      </c>
      <c r="E131" s="19" t="n">
        <f aca="false">INDEX(Catalogo!$B$6:$B$156,MATCH($D131,Catalogo!$A$6:$A$156,0))</f>
        <v>3</v>
      </c>
      <c r="F131" s="19" t="n">
        <f aca="false">INDEX(Catalogo!$D$6:$D$156,MATCH($D131,Catalogo!$A$6:$A$156,0))</f>
        <v>20</v>
      </c>
      <c r="G131" s="19" t="str">
        <f aca="false">INDEX(Catalogo!$G$6:$G$156,MATCH($D131,Catalogo!$A$6:$A$156,0))</f>
        <v>Nao iniciado</v>
      </c>
      <c r="H131" s="20" t="n">
        <f aca="false">SUM(F131:F132)</f>
        <v>42</v>
      </c>
    </row>
    <row r="132" customFormat="false" ht="15" hidden="false" customHeight="false" outlineLevel="0" collapsed="false">
      <c r="A132" s="17"/>
      <c r="B132" s="17"/>
      <c r="C132" s="17"/>
      <c r="D132" s="19" t="s">
        <v>245</v>
      </c>
      <c r="E132" s="19" t="n">
        <f aca="false">INDEX(Catalogo!$B$6:$B$156,MATCH($D132,Catalogo!$A$6:$A$156,0))</f>
        <v>3</v>
      </c>
      <c r="F132" s="19" t="n">
        <f aca="false">INDEX(Catalogo!$D$6:$D$156,MATCH($D132,Catalogo!$A$6:$A$156,0))</f>
        <v>22</v>
      </c>
      <c r="G132" s="19" t="str">
        <f aca="false">INDEX(Catalogo!$G$6:$G$156,MATCH($D132,Catalogo!$A$6:$A$156,0))</f>
        <v>Nao iniciado</v>
      </c>
      <c r="H132" s="20"/>
    </row>
    <row r="133" customFormat="false" ht="15" hidden="false" customHeight="true" outlineLevel="0" collapsed="false">
      <c r="A133" s="13" t="n">
        <v>65</v>
      </c>
      <c r="B133" s="14" t="s">
        <v>354</v>
      </c>
      <c r="C133" s="15"/>
      <c r="D133" s="9" t="s">
        <v>242</v>
      </c>
      <c r="E133" s="9" t="n">
        <f aca="false">INDEX(Catalogo!$B$6:$B$156,MATCH($D133,Catalogo!$A$6:$A$156,0))</f>
        <v>3</v>
      </c>
      <c r="F133" s="9" t="n">
        <f aca="false">INDEX(Catalogo!$D$6:$D$156,MATCH($D133,Catalogo!$A$6:$A$156,0))</f>
        <v>25</v>
      </c>
      <c r="G133" s="9" t="str">
        <f aca="false">INDEX(Catalogo!$G$6:$G$156,MATCH($D133,Catalogo!$A$6:$A$156,0))</f>
        <v>Nao iniciado</v>
      </c>
      <c r="H133" s="16" t="n">
        <f aca="false">SUM(F133:F134)</f>
        <v>50</v>
      </c>
    </row>
    <row r="134" customFormat="false" ht="15" hidden="false" customHeight="false" outlineLevel="0" collapsed="false">
      <c r="A134" s="13"/>
      <c r="B134" s="13"/>
      <c r="C134" s="13"/>
      <c r="D134" s="9" t="s">
        <v>329</v>
      </c>
      <c r="E134" s="9" t="n">
        <f aca="false">INDEX(Catalogo!$B$6:$B$156,MATCH($D134,Catalogo!$A$6:$A$156,0))</f>
        <v>4</v>
      </c>
      <c r="F134" s="9" t="n">
        <f aca="false">INDEX(Catalogo!$D$6:$D$156,MATCH($D134,Catalogo!$A$6:$A$156,0))</f>
        <v>25</v>
      </c>
      <c r="G134" s="9" t="str">
        <f aca="false">INDEX(Catalogo!$G$6:$G$156,MATCH($D134,Catalogo!$A$6:$A$156,0))</f>
        <v>Nao iniciado</v>
      </c>
      <c r="H134" s="16"/>
    </row>
    <row r="135" customFormat="false" ht="15" hidden="false" customHeight="true" outlineLevel="0" collapsed="false">
      <c r="A135" s="17" t="n">
        <v>66</v>
      </c>
      <c r="B135" s="18" t="s">
        <v>354</v>
      </c>
      <c r="C135" s="15"/>
      <c r="D135" s="19" t="s">
        <v>331</v>
      </c>
      <c r="E135" s="19" t="n">
        <f aca="false">INDEX(Catalogo!$B$6:$B$156,MATCH($D135,Catalogo!$A$6:$A$156,0))</f>
        <v>4</v>
      </c>
      <c r="F135" s="19" t="n">
        <f aca="false">INDEX(Catalogo!$D$6:$D$156,MATCH($D135,Catalogo!$A$6:$A$156,0))</f>
        <v>25</v>
      </c>
      <c r="G135" s="19" t="str">
        <f aca="false">INDEX(Catalogo!$G$6:$G$156,MATCH($D135,Catalogo!$A$6:$A$156,0))</f>
        <v>Nao iniciado</v>
      </c>
      <c r="H135" s="20" t="n">
        <f aca="false">SUM(F135:F136)</f>
        <v>51</v>
      </c>
    </row>
    <row r="136" customFormat="false" ht="15" hidden="false" customHeight="false" outlineLevel="0" collapsed="false">
      <c r="A136" s="17"/>
      <c r="B136" s="17"/>
      <c r="C136" s="17"/>
      <c r="D136" s="19" t="s">
        <v>328</v>
      </c>
      <c r="E136" s="19" t="n">
        <f aca="false">INDEX(Catalogo!$B$6:$B$156,MATCH($D136,Catalogo!$A$6:$A$156,0))</f>
        <v>4</v>
      </c>
      <c r="F136" s="19" t="n">
        <f aca="false">INDEX(Catalogo!$D$6:$D$156,MATCH($D136,Catalogo!$A$6:$A$156,0))</f>
        <v>26</v>
      </c>
      <c r="G136" s="19" t="str">
        <f aca="false">INDEX(Catalogo!$G$6:$G$156,MATCH($D136,Catalogo!$A$6:$A$156,0))</f>
        <v>Nao iniciado</v>
      </c>
      <c r="H136" s="20"/>
    </row>
    <row r="137" customFormat="false" ht="15" hidden="false" customHeight="true" outlineLevel="0" collapsed="false">
      <c r="A137" s="13" t="n">
        <v>67</v>
      </c>
      <c r="B137" s="14" t="s">
        <v>354</v>
      </c>
      <c r="C137" s="15"/>
      <c r="D137" s="9" t="s">
        <v>327</v>
      </c>
      <c r="E137" s="9" t="n">
        <f aca="false">INDEX(Catalogo!$B$6:$B$156,MATCH($D137,Catalogo!$A$6:$A$156,0))</f>
        <v>4</v>
      </c>
      <c r="F137" s="9" t="n">
        <f aca="false">INDEX(Catalogo!$D$6:$D$156,MATCH($D137,Catalogo!$A$6:$A$156,0))</f>
        <v>27</v>
      </c>
      <c r="G137" s="9" t="str">
        <f aca="false">INDEX(Catalogo!$G$6:$G$156,MATCH($D137,Catalogo!$A$6:$A$156,0))</f>
        <v>Nao iniciado</v>
      </c>
      <c r="H137" s="16" t="n">
        <f aca="false">SUM(F137:F138)</f>
        <v>57</v>
      </c>
    </row>
    <row r="138" customFormat="false" ht="15" hidden="false" customHeight="false" outlineLevel="0" collapsed="false">
      <c r="A138" s="13"/>
      <c r="B138" s="13"/>
      <c r="C138" s="13"/>
      <c r="D138" s="9" t="s">
        <v>316</v>
      </c>
      <c r="E138" s="9" t="n">
        <f aca="false">INDEX(Catalogo!$B$6:$B$156,MATCH($D138,Catalogo!$A$6:$A$156,0))</f>
        <v>4</v>
      </c>
      <c r="F138" s="9" t="n">
        <f aca="false">INDEX(Catalogo!$D$6:$D$156,MATCH($D138,Catalogo!$A$6:$A$156,0))</f>
        <v>30</v>
      </c>
      <c r="G138" s="9" t="str">
        <f aca="false">INDEX(Catalogo!$G$6:$G$156,MATCH($D138,Catalogo!$A$6:$A$156,0))</f>
        <v>Nao iniciado</v>
      </c>
      <c r="H138" s="16"/>
    </row>
    <row r="139" customFormat="false" ht="15" hidden="false" customHeight="true" outlineLevel="0" collapsed="false">
      <c r="A139" s="17" t="n">
        <v>68</v>
      </c>
      <c r="B139" s="18" t="s">
        <v>354</v>
      </c>
      <c r="C139" s="15"/>
      <c r="D139" s="19" t="s">
        <v>317</v>
      </c>
      <c r="E139" s="19" t="n">
        <f aca="false">INDEX(Catalogo!$B$6:$B$156,MATCH($D139,Catalogo!$A$6:$A$156,0))</f>
        <v>4</v>
      </c>
      <c r="F139" s="19" t="n">
        <f aca="false">INDEX(Catalogo!$D$6:$D$156,MATCH($D139,Catalogo!$A$6:$A$156,0))</f>
        <v>30</v>
      </c>
      <c r="G139" s="19" t="str">
        <f aca="false">INDEX(Catalogo!$G$6:$G$156,MATCH($D139,Catalogo!$A$6:$A$156,0))</f>
        <v>Nao iniciado</v>
      </c>
      <c r="H139" s="20" t="n">
        <f aca="false">SUM(F139:F140)</f>
        <v>60</v>
      </c>
    </row>
    <row r="140" customFormat="false" ht="15" hidden="false" customHeight="false" outlineLevel="0" collapsed="false">
      <c r="A140" s="17"/>
      <c r="B140" s="17"/>
      <c r="C140" s="17"/>
      <c r="D140" s="19" t="s">
        <v>320</v>
      </c>
      <c r="E140" s="19" t="n">
        <f aca="false">INDEX(Catalogo!$B$6:$B$156,MATCH($D140,Catalogo!$A$6:$A$156,0))</f>
        <v>4</v>
      </c>
      <c r="F140" s="19" t="n">
        <f aca="false">INDEX(Catalogo!$D$6:$D$156,MATCH($D140,Catalogo!$A$6:$A$156,0))</f>
        <v>30</v>
      </c>
      <c r="G140" s="19" t="str">
        <f aca="false">INDEX(Catalogo!$G$6:$G$156,MATCH($D140,Catalogo!$A$6:$A$156,0))</f>
        <v>Nao iniciado</v>
      </c>
      <c r="H140" s="20"/>
    </row>
    <row r="141" customFormat="false" ht="15" hidden="false" customHeight="true" outlineLevel="0" collapsed="false">
      <c r="A141" s="13" t="n">
        <v>69</v>
      </c>
      <c r="B141" s="14" t="s">
        <v>355</v>
      </c>
      <c r="C141" s="15"/>
      <c r="D141" s="9" t="s">
        <v>321</v>
      </c>
      <c r="E141" s="9" t="n">
        <f aca="false">INDEX(Catalogo!$B$6:$B$156,MATCH($D141,Catalogo!$A$6:$A$156,0))</f>
        <v>4</v>
      </c>
      <c r="F141" s="9" t="n">
        <f aca="false">INDEX(Catalogo!$D$6:$D$156,MATCH($D141,Catalogo!$A$6:$A$156,0))</f>
        <v>30</v>
      </c>
      <c r="G141" s="9" t="str">
        <f aca="false">INDEX(Catalogo!$G$6:$G$156,MATCH($D141,Catalogo!$A$6:$A$156,0))</f>
        <v>Nao iniciado</v>
      </c>
      <c r="H141" s="16" t="n">
        <f aca="false">SUM(F141:F142)</f>
        <v>60</v>
      </c>
    </row>
    <row r="142" customFormat="false" ht="15" hidden="false" customHeight="false" outlineLevel="0" collapsed="false">
      <c r="A142" s="13"/>
      <c r="B142" s="13"/>
      <c r="C142" s="13"/>
      <c r="D142" s="9" t="s">
        <v>322</v>
      </c>
      <c r="E142" s="9" t="n">
        <f aca="false">INDEX(Catalogo!$B$6:$B$156,MATCH($D142,Catalogo!$A$6:$A$156,0))</f>
        <v>4</v>
      </c>
      <c r="F142" s="9" t="n">
        <f aca="false">INDEX(Catalogo!$D$6:$D$156,MATCH($D142,Catalogo!$A$6:$A$156,0))</f>
        <v>30</v>
      </c>
      <c r="G142" s="9" t="str">
        <f aca="false">INDEX(Catalogo!$G$6:$G$156,MATCH($D142,Catalogo!$A$6:$A$156,0))</f>
        <v>Nao iniciado</v>
      </c>
      <c r="H142" s="16"/>
    </row>
    <row r="143" customFormat="false" ht="15" hidden="false" customHeight="true" outlineLevel="0" collapsed="false">
      <c r="A143" s="17" t="n">
        <v>70</v>
      </c>
      <c r="B143" s="18" t="s">
        <v>355</v>
      </c>
      <c r="C143" s="15"/>
      <c r="D143" s="19" t="s">
        <v>325</v>
      </c>
      <c r="E143" s="19" t="n">
        <f aca="false">INDEX(Catalogo!$B$6:$B$156,MATCH($D143,Catalogo!$A$6:$A$156,0))</f>
        <v>4</v>
      </c>
      <c r="F143" s="19" t="n">
        <f aca="false">INDEX(Catalogo!$D$6:$D$156,MATCH($D143,Catalogo!$A$6:$A$156,0))</f>
        <v>30</v>
      </c>
      <c r="G143" s="19" t="str">
        <f aca="false">INDEX(Catalogo!$G$6:$G$156,MATCH($D143,Catalogo!$A$6:$A$156,0))</f>
        <v>Nao iniciado</v>
      </c>
      <c r="H143" s="20" t="n">
        <f aca="false">SUM(F143:F144)</f>
        <v>62</v>
      </c>
    </row>
    <row r="144" customFormat="false" ht="15" hidden="false" customHeight="false" outlineLevel="0" collapsed="false">
      <c r="A144" s="17"/>
      <c r="B144" s="17"/>
      <c r="C144" s="17"/>
      <c r="D144" s="19" t="s">
        <v>315</v>
      </c>
      <c r="E144" s="19" t="n">
        <f aca="false">INDEX(Catalogo!$B$6:$B$156,MATCH($D144,Catalogo!$A$6:$A$156,0))</f>
        <v>4</v>
      </c>
      <c r="F144" s="19" t="n">
        <f aca="false">INDEX(Catalogo!$D$6:$D$156,MATCH($D144,Catalogo!$A$6:$A$156,0))</f>
        <v>32</v>
      </c>
      <c r="G144" s="19" t="str">
        <f aca="false">INDEX(Catalogo!$G$6:$G$156,MATCH($D144,Catalogo!$A$6:$A$156,0))</f>
        <v>Nao iniciado</v>
      </c>
      <c r="H144" s="20"/>
    </row>
    <row r="145" customFormat="false" ht="15" hidden="false" customHeight="true" outlineLevel="0" collapsed="false">
      <c r="A145" s="13" t="n">
        <v>71</v>
      </c>
      <c r="B145" s="14" t="s">
        <v>355</v>
      </c>
      <c r="C145" s="15"/>
      <c r="D145" s="9" t="s">
        <v>312</v>
      </c>
      <c r="E145" s="9" t="n">
        <f aca="false">INDEX(Catalogo!$B$6:$B$156,MATCH($D145,Catalogo!$A$6:$A$156,0))</f>
        <v>4</v>
      </c>
      <c r="F145" s="9" t="n">
        <f aca="false">INDEX(Catalogo!$D$6:$D$156,MATCH($D145,Catalogo!$A$6:$A$156,0))</f>
        <v>35</v>
      </c>
      <c r="G145" s="9" t="str">
        <f aca="false">INDEX(Catalogo!$G$6:$G$156,MATCH($D145,Catalogo!$A$6:$A$156,0))</f>
        <v>Nao iniciado</v>
      </c>
      <c r="H145" s="16" t="n">
        <f aca="false">SUM(F145:F146)</f>
        <v>70</v>
      </c>
    </row>
    <row r="146" customFormat="false" ht="15" hidden="false" customHeight="false" outlineLevel="0" collapsed="false">
      <c r="A146" s="13"/>
      <c r="B146" s="13"/>
      <c r="C146" s="13"/>
      <c r="D146" s="9" t="s">
        <v>313</v>
      </c>
      <c r="E146" s="9" t="n">
        <f aca="false">INDEX(Catalogo!$B$6:$B$156,MATCH($D146,Catalogo!$A$6:$A$156,0))</f>
        <v>4</v>
      </c>
      <c r="F146" s="9" t="n">
        <f aca="false">INDEX(Catalogo!$D$6:$D$156,MATCH($D146,Catalogo!$A$6:$A$156,0))</f>
        <v>35</v>
      </c>
      <c r="G146" s="9" t="str">
        <f aca="false">INDEX(Catalogo!$G$6:$G$156,MATCH($D146,Catalogo!$A$6:$A$156,0))</f>
        <v>Nao iniciado</v>
      </c>
      <c r="H146" s="16"/>
    </row>
    <row r="147" customFormat="false" ht="15" hidden="false" customHeight="true" outlineLevel="0" collapsed="false">
      <c r="A147" s="17" t="n">
        <v>72</v>
      </c>
      <c r="B147" s="18" t="s">
        <v>355</v>
      </c>
      <c r="C147" s="15"/>
      <c r="D147" s="19" t="s">
        <v>309</v>
      </c>
      <c r="E147" s="19" t="n">
        <f aca="false">INDEX(Catalogo!$B$6:$B$156,MATCH($D147,Catalogo!$A$6:$A$156,0))</f>
        <v>4</v>
      </c>
      <c r="F147" s="19" t="n">
        <f aca="false">INDEX(Catalogo!$D$6:$D$156,MATCH($D147,Catalogo!$A$6:$A$156,0))</f>
        <v>40</v>
      </c>
      <c r="G147" s="19" t="str">
        <f aca="false">INDEX(Catalogo!$G$6:$G$156,MATCH($D147,Catalogo!$A$6:$A$156,0))</f>
        <v>Nao iniciado</v>
      </c>
      <c r="H147" s="20" t="n">
        <f aca="false">SUM(F147:F148)</f>
        <v>85</v>
      </c>
    </row>
    <row r="148" customFormat="false" ht="15" hidden="false" customHeight="false" outlineLevel="0" collapsed="false">
      <c r="A148" s="17"/>
      <c r="B148" s="17"/>
      <c r="C148" s="17"/>
      <c r="D148" s="19" t="s">
        <v>307</v>
      </c>
      <c r="E148" s="19" t="n">
        <f aca="false">INDEX(Catalogo!$B$6:$B$156,MATCH($D148,Catalogo!$A$6:$A$156,0))</f>
        <v>4</v>
      </c>
      <c r="F148" s="19" t="n">
        <f aca="false">INDEX(Catalogo!$D$6:$D$156,MATCH($D148,Catalogo!$A$6:$A$156,0))</f>
        <v>45</v>
      </c>
      <c r="G148" s="19" t="str">
        <f aca="false">INDEX(Catalogo!$G$6:$G$156,MATCH($D148,Catalogo!$A$6:$A$156,0))</f>
        <v>Nao iniciado</v>
      </c>
      <c r="H148" s="20"/>
    </row>
    <row r="149" customFormat="false" ht="15" hidden="false" customHeight="true" outlineLevel="0" collapsed="false">
      <c r="A149" s="13" t="n">
        <v>73</v>
      </c>
      <c r="B149" s="14" t="s">
        <v>355</v>
      </c>
      <c r="C149" s="15"/>
      <c r="D149" s="9" t="s">
        <v>343</v>
      </c>
      <c r="E149" s="9" t="n">
        <f aca="false">INDEX(Catalogo!$B$6:$B$156,MATCH($D149,Catalogo!$A$6:$A$156,0))</f>
        <v>5</v>
      </c>
      <c r="F149" s="9" t="n">
        <f aca="false">INDEX(Catalogo!$D$6:$D$156,MATCH($D149,Catalogo!$A$6:$A$156,0))</f>
        <v>46</v>
      </c>
      <c r="G149" s="9" t="str">
        <f aca="false">INDEX(Catalogo!$G$6:$G$156,MATCH($D149,Catalogo!$A$6:$A$156,0))</f>
        <v>Nao iniciado</v>
      </c>
      <c r="H149" s="16" t="n">
        <f aca="false">SUM(F149:F150)</f>
        <v>96</v>
      </c>
    </row>
    <row r="150" customFormat="false" ht="15" hidden="false" customHeight="false" outlineLevel="0" collapsed="false">
      <c r="A150" s="13"/>
      <c r="B150" s="13"/>
      <c r="C150" s="13"/>
      <c r="D150" s="9" t="s">
        <v>338</v>
      </c>
      <c r="E150" s="9" t="n">
        <f aca="false">INDEX(Catalogo!$B$6:$B$156,MATCH($D150,Catalogo!$A$6:$A$156,0))</f>
        <v>5</v>
      </c>
      <c r="F150" s="9" t="n">
        <f aca="false">INDEX(Catalogo!$D$6:$D$156,MATCH($D150,Catalogo!$A$6:$A$156,0))</f>
        <v>50</v>
      </c>
      <c r="G150" s="9" t="str">
        <f aca="false">INDEX(Catalogo!$G$6:$G$156,MATCH($D150,Catalogo!$A$6:$A$156,0))</f>
        <v>Nao iniciado</v>
      </c>
      <c r="H150" s="16"/>
    </row>
    <row r="151" customFormat="false" ht="15" hidden="false" customHeight="true" outlineLevel="0" collapsed="false">
      <c r="A151" s="17" t="n">
        <v>74</v>
      </c>
      <c r="B151" s="18" t="s">
        <v>355</v>
      </c>
      <c r="C151" s="15"/>
      <c r="D151" s="19" t="s">
        <v>339</v>
      </c>
      <c r="E151" s="19" t="n">
        <f aca="false">INDEX(Catalogo!$B$6:$B$156,MATCH($D151,Catalogo!$A$6:$A$156,0))</f>
        <v>5</v>
      </c>
      <c r="F151" s="19" t="n">
        <f aca="false">INDEX(Catalogo!$D$6:$D$156,MATCH($D151,Catalogo!$A$6:$A$156,0))</f>
        <v>50</v>
      </c>
      <c r="G151" s="19" t="str">
        <f aca="false">INDEX(Catalogo!$G$6:$G$156,MATCH($D151,Catalogo!$A$6:$A$156,0))</f>
        <v>Nao iniciado</v>
      </c>
      <c r="H151" s="20" t="n">
        <f aca="false">SUM(F151:F152)</f>
        <v>100</v>
      </c>
    </row>
    <row r="152" customFormat="false" ht="15" hidden="false" customHeight="false" outlineLevel="0" collapsed="false">
      <c r="A152" s="17"/>
      <c r="B152" s="17"/>
      <c r="C152" s="17"/>
      <c r="D152" s="19" t="s">
        <v>340</v>
      </c>
      <c r="E152" s="19" t="n">
        <f aca="false">INDEX(Catalogo!$B$6:$B$156,MATCH($D152,Catalogo!$A$6:$A$156,0))</f>
        <v>5</v>
      </c>
      <c r="F152" s="19" t="n">
        <f aca="false">INDEX(Catalogo!$D$6:$D$156,MATCH($D152,Catalogo!$A$6:$A$156,0))</f>
        <v>50</v>
      </c>
      <c r="G152" s="19" t="str">
        <f aca="false">INDEX(Catalogo!$G$6:$G$156,MATCH($D152,Catalogo!$A$6:$A$156,0))</f>
        <v>Nao iniciado</v>
      </c>
      <c r="H152" s="20"/>
    </row>
    <row r="153" customFormat="false" ht="15" hidden="false" customHeight="true" outlineLevel="0" collapsed="false">
      <c r="A153" s="13" t="n">
        <v>75</v>
      </c>
      <c r="B153" s="14" t="s">
        <v>355</v>
      </c>
      <c r="C153" s="15"/>
      <c r="D153" s="9" t="s">
        <v>334</v>
      </c>
      <c r="E153" s="9" t="n">
        <f aca="false">INDEX(Catalogo!$B$6:$B$156,MATCH($D153,Catalogo!$A$6:$A$156,0))</f>
        <v>5</v>
      </c>
      <c r="F153" s="9" t="n">
        <f aca="false">INDEX(Catalogo!$D$6:$D$156,MATCH($D153,Catalogo!$A$6:$A$156,0))</f>
        <v>55</v>
      </c>
      <c r="G153" s="9" t="str">
        <f aca="false">INDEX(Catalogo!$G$6:$G$156,MATCH($D153,Catalogo!$A$6:$A$156,0))</f>
        <v>Nao iniciado</v>
      </c>
      <c r="H153" s="16" t="n">
        <f aca="false">SUM(F153:F154)</f>
        <v>110</v>
      </c>
    </row>
    <row r="154" customFormat="false" ht="15" hidden="false" customHeight="false" outlineLevel="0" collapsed="false">
      <c r="A154" s="13"/>
      <c r="B154" s="13"/>
      <c r="C154" s="13"/>
      <c r="D154" s="9" t="s">
        <v>337</v>
      </c>
      <c r="E154" s="9" t="n">
        <f aca="false">INDEX(Catalogo!$B$6:$B$156,MATCH($D154,Catalogo!$A$6:$A$156,0))</f>
        <v>5</v>
      </c>
      <c r="F154" s="9" t="n">
        <f aca="false">INDEX(Catalogo!$D$6:$D$156,MATCH($D154,Catalogo!$A$6:$A$156,0))</f>
        <v>55</v>
      </c>
      <c r="G154" s="9" t="str">
        <f aca="false">INDEX(Catalogo!$G$6:$G$156,MATCH($D154,Catalogo!$A$6:$A$156,0))</f>
        <v>Nao iniciado</v>
      </c>
      <c r="H154" s="16"/>
    </row>
    <row r="155" customFormat="false" ht="15" hidden="false" customHeight="false" outlineLevel="0" collapsed="false">
      <c r="A155" s="17" t="n">
        <v>76</v>
      </c>
      <c r="B155" s="18" t="s">
        <v>355</v>
      </c>
      <c r="C155" s="15"/>
      <c r="D155" s="19" t="s">
        <v>332</v>
      </c>
      <c r="E155" s="19" t="n">
        <f aca="false">INDEX(Catalogo!$B$6:$B$156,MATCH($D155,Catalogo!$A$6:$A$156,0))</f>
        <v>5</v>
      </c>
      <c r="F155" s="19" t="n">
        <f aca="false">INDEX(Catalogo!$D$6:$D$156,MATCH($D155,Catalogo!$A$6:$A$156,0))</f>
        <v>60</v>
      </c>
      <c r="G155" s="19" t="str">
        <f aca="false">INDEX(Catalogo!$G$6:$G$156,MATCH($D155,Catalogo!$A$6:$A$156,0))</f>
        <v>Nao iniciado</v>
      </c>
      <c r="H155" s="20" t="n">
        <f aca="false">SUM(F155:F155)</f>
        <v>60</v>
      </c>
    </row>
    <row r="157" customFormat="false" ht="15" hidden="false" customHeight="false" outlineLevel="0" collapsed="false">
      <c r="D157" s="21" t="s">
        <v>356</v>
      </c>
      <c r="F157" s="21" t="n">
        <f aca="false">SUM(F5:F155)</f>
        <v>2065</v>
      </c>
    </row>
    <row r="158" customFormat="false" ht="15" hidden="false" customHeight="false" outlineLevel="0" collapsed="false">
      <c r="D158" s="21" t="s">
        <v>357</v>
      </c>
      <c r="F158" s="21" t="n">
        <f aca="false">COUNTA(D5:D155)</f>
        <v>151</v>
      </c>
    </row>
  </sheetData>
  <mergeCells count="300">
    <mergeCell ref="A5:A6"/>
    <mergeCell ref="B5:B6"/>
    <mergeCell ref="C5:C6"/>
    <mergeCell ref="H5:H6"/>
    <mergeCell ref="A7:A8"/>
    <mergeCell ref="B7:B8"/>
    <mergeCell ref="C7:C8"/>
    <mergeCell ref="H7:H8"/>
    <mergeCell ref="A9:A10"/>
    <mergeCell ref="B9:B10"/>
    <mergeCell ref="C9:C10"/>
    <mergeCell ref="H9:H10"/>
    <mergeCell ref="A11:A12"/>
    <mergeCell ref="B11:B12"/>
    <mergeCell ref="C11:C12"/>
    <mergeCell ref="H11:H12"/>
    <mergeCell ref="A13:A14"/>
    <mergeCell ref="B13:B14"/>
    <mergeCell ref="C13:C14"/>
    <mergeCell ref="H13:H14"/>
    <mergeCell ref="A15:A16"/>
    <mergeCell ref="B15:B16"/>
    <mergeCell ref="C15:C16"/>
    <mergeCell ref="H15:H16"/>
    <mergeCell ref="A17:A18"/>
    <mergeCell ref="B17:B18"/>
    <mergeCell ref="C17:C18"/>
    <mergeCell ref="H17:H18"/>
    <mergeCell ref="A19:A20"/>
    <mergeCell ref="B19:B20"/>
    <mergeCell ref="C19:C20"/>
    <mergeCell ref="H19:H20"/>
    <mergeCell ref="A21:A22"/>
    <mergeCell ref="B21:B22"/>
    <mergeCell ref="C21:C22"/>
    <mergeCell ref="H21:H22"/>
    <mergeCell ref="A23:A24"/>
    <mergeCell ref="B23:B24"/>
    <mergeCell ref="C23:C24"/>
    <mergeCell ref="H23:H24"/>
    <mergeCell ref="A25:A26"/>
    <mergeCell ref="B25:B26"/>
    <mergeCell ref="C25:C26"/>
    <mergeCell ref="H25:H26"/>
    <mergeCell ref="A27:A28"/>
    <mergeCell ref="B27:B28"/>
    <mergeCell ref="C27:C28"/>
    <mergeCell ref="H27:H28"/>
    <mergeCell ref="A29:A30"/>
    <mergeCell ref="B29:B30"/>
    <mergeCell ref="C29:C30"/>
    <mergeCell ref="H29:H30"/>
    <mergeCell ref="A31:A32"/>
    <mergeCell ref="B31:B32"/>
    <mergeCell ref="C31:C32"/>
    <mergeCell ref="H31:H32"/>
    <mergeCell ref="A33:A34"/>
    <mergeCell ref="B33:B34"/>
    <mergeCell ref="C33:C34"/>
    <mergeCell ref="H33:H34"/>
    <mergeCell ref="A35:A36"/>
    <mergeCell ref="B35:B36"/>
    <mergeCell ref="C35:C36"/>
    <mergeCell ref="H35:H36"/>
    <mergeCell ref="A37:A38"/>
    <mergeCell ref="B37:B38"/>
    <mergeCell ref="C37:C38"/>
    <mergeCell ref="H37:H38"/>
    <mergeCell ref="A39:A40"/>
    <mergeCell ref="B39:B40"/>
    <mergeCell ref="C39:C40"/>
    <mergeCell ref="H39:H40"/>
    <mergeCell ref="A41:A42"/>
    <mergeCell ref="B41:B42"/>
    <mergeCell ref="C41:C42"/>
    <mergeCell ref="H41:H42"/>
    <mergeCell ref="A43:A44"/>
    <mergeCell ref="B43:B44"/>
    <mergeCell ref="C43:C44"/>
    <mergeCell ref="H43:H44"/>
    <mergeCell ref="A45:A46"/>
    <mergeCell ref="B45:B46"/>
    <mergeCell ref="C45:C46"/>
    <mergeCell ref="H45:H46"/>
    <mergeCell ref="A47:A48"/>
    <mergeCell ref="B47:B48"/>
    <mergeCell ref="C47:C48"/>
    <mergeCell ref="H47:H48"/>
    <mergeCell ref="A49:A50"/>
    <mergeCell ref="B49:B50"/>
    <mergeCell ref="C49:C50"/>
    <mergeCell ref="H49:H50"/>
    <mergeCell ref="A51:A52"/>
    <mergeCell ref="B51:B52"/>
    <mergeCell ref="C51:C52"/>
    <mergeCell ref="H51:H52"/>
    <mergeCell ref="A53:A54"/>
    <mergeCell ref="B53:B54"/>
    <mergeCell ref="C53:C54"/>
    <mergeCell ref="H53:H54"/>
    <mergeCell ref="A55:A56"/>
    <mergeCell ref="B55:B56"/>
    <mergeCell ref="C55:C56"/>
    <mergeCell ref="H55:H56"/>
    <mergeCell ref="A57:A58"/>
    <mergeCell ref="B57:B58"/>
    <mergeCell ref="C57:C58"/>
    <mergeCell ref="H57:H58"/>
    <mergeCell ref="A59:A60"/>
    <mergeCell ref="B59:B60"/>
    <mergeCell ref="C59:C60"/>
    <mergeCell ref="H59:H60"/>
    <mergeCell ref="A61:A62"/>
    <mergeCell ref="B61:B62"/>
    <mergeCell ref="C61:C62"/>
    <mergeCell ref="H61:H62"/>
    <mergeCell ref="A63:A64"/>
    <mergeCell ref="B63:B64"/>
    <mergeCell ref="C63:C64"/>
    <mergeCell ref="H63:H64"/>
    <mergeCell ref="A65:A66"/>
    <mergeCell ref="B65:B66"/>
    <mergeCell ref="C65:C66"/>
    <mergeCell ref="H65:H66"/>
    <mergeCell ref="A67:A68"/>
    <mergeCell ref="B67:B68"/>
    <mergeCell ref="C67:C68"/>
    <mergeCell ref="H67:H68"/>
    <mergeCell ref="A69:A70"/>
    <mergeCell ref="B69:B70"/>
    <mergeCell ref="C69:C70"/>
    <mergeCell ref="H69:H70"/>
    <mergeCell ref="A71:A72"/>
    <mergeCell ref="B71:B72"/>
    <mergeCell ref="C71:C72"/>
    <mergeCell ref="H71:H72"/>
    <mergeCell ref="A73:A74"/>
    <mergeCell ref="B73:B74"/>
    <mergeCell ref="C73:C74"/>
    <mergeCell ref="H73:H74"/>
    <mergeCell ref="A75:A76"/>
    <mergeCell ref="B75:B76"/>
    <mergeCell ref="C75:C76"/>
    <mergeCell ref="H75:H76"/>
    <mergeCell ref="A77:A78"/>
    <mergeCell ref="B77:B78"/>
    <mergeCell ref="C77:C78"/>
    <mergeCell ref="H77:H78"/>
    <mergeCell ref="A79:A80"/>
    <mergeCell ref="B79:B80"/>
    <mergeCell ref="C79:C80"/>
    <mergeCell ref="H79:H80"/>
    <mergeCell ref="A81:A82"/>
    <mergeCell ref="B81:B82"/>
    <mergeCell ref="C81:C82"/>
    <mergeCell ref="H81:H82"/>
    <mergeCell ref="A83:A84"/>
    <mergeCell ref="B83:B84"/>
    <mergeCell ref="C83:C84"/>
    <mergeCell ref="H83:H84"/>
    <mergeCell ref="A85:A86"/>
    <mergeCell ref="B85:B86"/>
    <mergeCell ref="C85:C86"/>
    <mergeCell ref="H85:H86"/>
    <mergeCell ref="A87:A88"/>
    <mergeCell ref="B87:B88"/>
    <mergeCell ref="C87:C88"/>
    <mergeCell ref="H87:H88"/>
    <mergeCell ref="A89:A90"/>
    <mergeCell ref="B89:B90"/>
    <mergeCell ref="C89:C90"/>
    <mergeCell ref="H89:H90"/>
    <mergeCell ref="A91:A92"/>
    <mergeCell ref="B91:B92"/>
    <mergeCell ref="C91:C92"/>
    <mergeCell ref="H91:H92"/>
    <mergeCell ref="A93:A94"/>
    <mergeCell ref="B93:B94"/>
    <mergeCell ref="C93:C94"/>
    <mergeCell ref="H93:H94"/>
    <mergeCell ref="A95:A96"/>
    <mergeCell ref="B95:B96"/>
    <mergeCell ref="C95:C96"/>
    <mergeCell ref="H95:H96"/>
    <mergeCell ref="A97:A98"/>
    <mergeCell ref="B97:B98"/>
    <mergeCell ref="C97:C98"/>
    <mergeCell ref="H97:H98"/>
    <mergeCell ref="A99:A100"/>
    <mergeCell ref="B99:B100"/>
    <mergeCell ref="C99:C100"/>
    <mergeCell ref="H99:H100"/>
    <mergeCell ref="A101:A102"/>
    <mergeCell ref="B101:B102"/>
    <mergeCell ref="C101:C102"/>
    <mergeCell ref="H101:H102"/>
    <mergeCell ref="A103:A104"/>
    <mergeCell ref="B103:B104"/>
    <mergeCell ref="C103:C104"/>
    <mergeCell ref="H103:H104"/>
    <mergeCell ref="A105:A106"/>
    <mergeCell ref="B105:B106"/>
    <mergeCell ref="C105:C106"/>
    <mergeCell ref="H105:H106"/>
    <mergeCell ref="A107:A108"/>
    <mergeCell ref="B107:B108"/>
    <mergeCell ref="C107:C108"/>
    <mergeCell ref="H107:H108"/>
    <mergeCell ref="A109:A110"/>
    <mergeCell ref="B109:B110"/>
    <mergeCell ref="C109:C110"/>
    <mergeCell ref="H109:H110"/>
    <mergeCell ref="A111:A112"/>
    <mergeCell ref="B111:B112"/>
    <mergeCell ref="C111:C112"/>
    <mergeCell ref="H111:H112"/>
    <mergeCell ref="A113:A114"/>
    <mergeCell ref="B113:B114"/>
    <mergeCell ref="C113:C114"/>
    <mergeCell ref="H113:H114"/>
    <mergeCell ref="A115:A116"/>
    <mergeCell ref="B115:B116"/>
    <mergeCell ref="C115:C116"/>
    <mergeCell ref="H115:H116"/>
    <mergeCell ref="A117:A118"/>
    <mergeCell ref="B117:B118"/>
    <mergeCell ref="C117:C118"/>
    <mergeCell ref="H117:H118"/>
    <mergeCell ref="A119:A120"/>
    <mergeCell ref="B119:B120"/>
    <mergeCell ref="C119:C120"/>
    <mergeCell ref="H119:H120"/>
    <mergeCell ref="A121:A122"/>
    <mergeCell ref="B121:B122"/>
    <mergeCell ref="C121:C122"/>
    <mergeCell ref="H121:H122"/>
    <mergeCell ref="A123:A124"/>
    <mergeCell ref="B123:B124"/>
    <mergeCell ref="C123:C124"/>
    <mergeCell ref="H123:H124"/>
    <mergeCell ref="A125:A126"/>
    <mergeCell ref="B125:B126"/>
    <mergeCell ref="C125:C126"/>
    <mergeCell ref="H125:H126"/>
    <mergeCell ref="A127:A128"/>
    <mergeCell ref="B127:B128"/>
    <mergeCell ref="C127:C128"/>
    <mergeCell ref="H127:H128"/>
    <mergeCell ref="A129:A130"/>
    <mergeCell ref="B129:B130"/>
    <mergeCell ref="C129:C130"/>
    <mergeCell ref="H129:H130"/>
    <mergeCell ref="A131:A132"/>
    <mergeCell ref="B131:B132"/>
    <mergeCell ref="C131:C132"/>
    <mergeCell ref="H131:H132"/>
    <mergeCell ref="A133:A134"/>
    <mergeCell ref="B133:B134"/>
    <mergeCell ref="C133:C134"/>
    <mergeCell ref="H133:H134"/>
    <mergeCell ref="A135:A136"/>
    <mergeCell ref="B135:B136"/>
    <mergeCell ref="C135:C136"/>
    <mergeCell ref="H135:H136"/>
    <mergeCell ref="A137:A138"/>
    <mergeCell ref="B137:B138"/>
    <mergeCell ref="C137:C138"/>
    <mergeCell ref="H137:H138"/>
    <mergeCell ref="A139:A140"/>
    <mergeCell ref="B139:B140"/>
    <mergeCell ref="C139:C140"/>
    <mergeCell ref="H139:H140"/>
    <mergeCell ref="A141:A142"/>
    <mergeCell ref="B141:B142"/>
    <mergeCell ref="C141:C142"/>
    <mergeCell ref="H141:H142"/>
    <mergeCell ref="A143:A144"/>
    <mergeCell ref="B143:B144"/>
    <mergeCell ref="C143:C144"/>
    <mergeCell ref="H143:H144"/>
    <mergeCell ref="A145:A146"/>
    <mergeCell ref="B145:B146"/>
    <mergeCell ref="C145:C146"/>
    <mergeCell ref="H145:H146"/>
    <mergeCell ref="A147:A148"/>
    <mergeCell ref="B147:B148"/>
    <mergeCell ref="C147:C148"/>
    <mergeCell ref="H147:H148"/>
    <mergeCell ref="A149:A150"/>
    <mergeCell ref="B149:B150"/>
    <mergeCell ref="C149:C150"/>
    <mergeCell ref="H149:H150"/>
    <mergeCell ref="A151:A152"/>
    <mergeCell ref="B151:B152"/>
    <mergeCell ref="C151:C152"/>
    <mergeCell ref="H151:H152"/>
    <mergeCell ref="A153:A154"/>
    <mergeCell ref="B153:B154"/>
    <mergeCell ref="C153:C154"/>
    <mergeCell ref="H153:H154"/>
  </mergeCells>
  <conditionalFormatting sqref="G5:G155">
    <cfRule type="cellIs" priority="2" operator="equal" aboveAverage="0" equalAverage="0" bottom="0" percent="0" rank="0" text="" dxfId="6">
      <formula>"Zerado"</formula>
    </cfRule>
    <cfRule type="cellIs" priority="3" operator="equal" aboveAverage="0" equalAverage="0" bottom="0" percent="0" rank="0" text="" dxfId="7">
      <formula>"Jogando"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7"/>
  </cols>
  <sheetData>
    <row r="1" customFormat="false" ht="17.35" hidden="false" customHeight="false" outlineLevel="0" collapsed="false">
      <c r="A1" s="1" t="s">
        <v>358</v>
      </c>
    </row>
    <row r="3" customFormat="false" ht="15" hidden="false" customHeight="false" outlineLevel="0" collapsed="false">
      <c r="A3" s="21" t="s">
        <v>359</v>
      </c>
    </row>
    <row r="4" customFormat="false" ht="15" hidden="false" customHeight="false" outlineLevel="0" collapsed="false">
      <c r="A4" s="7" t="s">
        <v>360</v>
      </c>
      <c r="B4" s="22" t="n">
        <f aca="false">COUNTA(Catalogo!$A$6:$A$156)</f>
        <v>151</v>
      </c>
    </row>
    <row r="5" customFormat="false" ht="15" hidden="false" customHeight="false" outlineLevel="0" collapsed="false">
      <c r="A5" s="7" t="s">
        <v>361</v>
      </c>
      <c r="B5" s="22" t="n">
        <f aca="false">COUNTIF(Catalogo!$G$6:$G$156,"Zerado")</f>
        <v>0</v>
      </c>
    </row>
    <row r="6" customFormat="false" ht="15" hidden="false" customHeight="false" outlineLevel="0" collapsed="false">
      <c r="A6" s="7" t="s">
        <v>362</v>
      </c>
      <c r="B6" s="22" t="n">
        <f aca="false">COUNTIF(Catalogo!$G$6:$G$156,"Jogando")</f>
        <v>0</v>
      </c>
    </row>
    <row r="7" customFormat="false" ht="15" hidden="false" customHeight="false" outlineLevel="0" collapsed="false">
      <c r="A7" s="7" t="s">
        <v>363</v>
      </c>
      <c r="B7" s="22" t="n">
        <f aca="false">COUNTIF(Catalogo!$G$6:$G$156,"Abandonado")</f>
        <v>0</v>
      </c>
    </row>
    <row r="8" customFormat="false" ht="15" hidden="false" customHeight="false" outlineLevel="0" collapsed="false">
      <c r="A8" s="7" t="s">
        <v>364</v>
      </c>
      <c r="B8" s="22" t="n">
        <f aca="false">COUNTIF(Catalogo!$G$6:$G$156,"Nao iniciado")</f>
        <v>151</v>
      </c>
    </row>
    <row r="9" customFormat="false" ht="15" hidden="false" customHeight="false" outlineLevel="0" collapsed="false">
      <c r="A9" s="7" t="s">
        <v>365</v>
      </c>
      <c r="B9" s="23" t="n">
        <f aca="false">IFERROR(B5/B4,0)</f>
        <v>0</v>
      </c>
    </row>
    <row r="10" customFormat="false" ht="15" hidden="false" customHeight="false" outlineLevel="0" collapsed="false">
      <c r="A10" s="7" t="s">
        <v>366</v>
      </c>
      <c r="B10" s="22" t="n">
        <f aca="false">SUM(Catalogo!$D$6:$D$156)</f>
        <v>2065</v>
      </c>
    </row>
    <row r="11" customFormat="false" ht="15" hidden="false" customHeight="false" outlineLevel="0" collapsed="false">
      <c r="A11" s="7" t="s">
        <v>367</v>
      </c>
      <c r="B11" s="22" t="n">
        <f aca="false">SUMIF(Catalogo!$G$6:$G$156,"Zerado",Catalogo!$D$6:$D$156)</f>
        <v>0</v>
      </c>
    </row>
    <row r="12" customFormat="false" ht="15" hidden="false" customHeight="false" outlineLevel="0" collapsed="false">
      <c r="A12" s="7" t="s">
        <v>368</v>
      </c>
      <c r="B12" s="22" t="n">
        <f aca="false">B10-B11</f>
        <v>2065</v>
      </c>
    </row>
    <row r="14" customFormat="false" ht="15" hidden="false" customHeight="false" outlineLevel="0" collapsed="false">
      <c r="A14" s="21" t="s">
        <v>369</v>
      </c>
    </row>
    <row r="15" customFormat="false" ht="15" hidden="false" customHeight="false" outlineLevel="0" collapsed="false">
      <c r="A15" s="24" t="s">
        <v>44</v>
      </c>
      <c r="B15" s="24" t="s">
        <v>370</v>
      </c>
      <c r="C15" s="24" t="s">
        <v>361</v>
      </c>
      <c r="D15" s="24" t="s">
        <v>371</v>
      </c>
      <c r="E15" s="24" t="s">
        <v>368</v>
      </c>
    </row>
    <row r="16" customFormat="false" ht="15" hidden="false" customHeight="false" outlineLevel="0" collapsed="false">
      <c r="A16" s="7" t="s">
        <v>53</v>
      </c>
      <c r="B16" s="7" t="n">
        <f aca="false">COUNTIF(Catalogo!$B$6:$B$156,1)</f>
        <v>33</v>
      </c>
      <c r="C16" s="7" t="n">
        <f aca="false">COUNTIFS(Catalogo!$B$6:$B$156,1,Catalogo!$G$6:$G$156,"Zerado")</f>
        <v>0</v>
      </c>
      <c r="D16" s="25" t="n">
        <f aca="false">IFERROR(C16/B16,0)</f>
        <v>0</v>
      </c>
      <c r="E16" s="7" t="n">
        <f aca="false">SUMIFS(Catalogo!$D$6:$D$156,Catalogo!$B$6:$B$156,1,Catalogo!$G$6:$G$156,"&lt;&gt;Zerado")</f>
        <v>126</v>
      </c>
    </row>
    <row r="17" customFormat="false" ht="15" hidden="false" customHeight="false" outlineLevel="0" collapsed="false">
      <c r="A17" s="7" t="s">
        <v>139</v>
      </c>
      <c r="B17" s="7" t="n">
        <f aca="false">COUNTIF(Catalogo!$B$6:$B$156,2)</f>
        <v>55</v>
      </c>
      <c r="C17" s="7" t="n">
        <f aca="false">COUNTIFS(Catalogo!$B$6:$B$156,2,Catalogo!$G$6:$G$156,"Zerado")</f>
        <v>0</v>
      </c>
      <c r="D17" s="25" t="n">
        <f aca="false">IFERROR(C17/B17,0)</f>
        <v>0</v>
      </c>
      <c r="E17" s="7" t="n">
        <f aca="false">SUMIFS(Catalogo!$D$6:$D$156,Catalogo!$B$6:$B$156,2,Catalogo!$G$6:$G$156,"&lt;&gt;Zerado")</f>
        <v>470</v>
      </c>
    </row>
    <row r="18" customFormat="false" ht="15" hidden="false" customHeight="false" outlineLevel="0" collapsed="false">
      <c r="A18" s="7" t="s">
        <v>243</v>
      </c>
      <c r="B18" s="7" t="n">
        <f aca="false">COUNTIF(Catalogo!$B$6:$B$156,3)</f>
        <v>41</v>
      </c>
      <c r="C18" s="7" t="n">
        <f aca="false">COUNTIFS(Catalogo!$B$6:$B$156,3,Catalogo!$G$6:$G$156,"Zerado")</f>
        <v>0</v>
      </c>
      <c r="D18" s="25" t="n">
        <f aca="false">IFERROR(C18/B18,0)</f>
        <v>0</v>
      </c>
      <c r="E18" s="7" t="n">
        <f aca="false">SUMIFS(Catalogo!$D$6:$D$156,Catalogo!$B$6:$B$156,3,Catalogo!$G$6:$G$156,"&lt;&gt;Zerado")</f>
        <v>633</v>
      </c>
    </row>
    <row r="19" customFormat="false" ht="15" hidden="false" customHeight="false" outlineLevel="0" collapsed="false">
      <c r="A19" s="7" t="s">
        <v>308</v>
      </c>
      <c r="B19" s="7" t="n">
        <f aca="false">COUNTIF(Catalogo!$B$6:$B$156,4)</f>
        <v>15</v>
      </c>
      <c r="C19" s="7" t="n">
        <f aca="false">COUNTIFS(Catalogo!$B$6:$B$156,4,Catalogo!$G$6:$G$156,"Zerado")</f>
        <v>0</v>
      </c>
      <c r="D19" s="25" t="n">
        <f aca="false">IFERROR(C19/B19,0)</f>
        <v>0</v>
      </c>
      <c r="E19" s="7" t="n">
        <f aca="false">SUMIFS(Catalogo!$D$6:$D$156,Catalogo!$B$6:$B$156,4,Catalogo!$G$6:$G$156,"&lt;&gt;Zerado")</f>
        <v>470</v>
      </c>
    </row>
    <row r="20" customFormat="false" ht="15" hidden="false" customHeight="false" outlineLevel="0" collapsed="false">
      <c r="A20" s="7" t="s">
        <v>333</v>
      </c>
      <c r="B20" s="7" t="n">
        <f aca="false">COUNTIF(Catalogo!$B$6:$B$156,5)</f>
        <v>7</v>
      </c>
      <c r="C20" s="7" t="n">
        <f aca="false">COUNTIFS(Catalogo!$B$6:$B$156,5,Catalogo!$G$6:$G$156,"Zerado")</f>
        <v>0</v>
      </c>
      <c r="D20" s="25" t="n">
        <f aca="false">IFERROR(C20/B20,0)</f>
        <v>0</v>
      </c>
      <c r="E20" s="7" t="n">
        <f aca="false">SUMIFS(Catalogo!$D$6:$D$156,Catalogo!$B$6:$B$156,5,Catalogo!$G$6:$G$156,"&lt;&gt;Zerado")</f>
        <v>366</v>
      </c>
    </row>
    <row r="21" customFormat="false" ht="15" hidden="false" customHeight="false" outlineLevel="0" collapsed="false">
      <c r="A21" s="22" t="s">
        <v>372</v>
      </c>
      <c r="B21" s="22" t="n">
        <f aca="false">SUM(B16:B20)</f>
        <v>151</v>
      </c>
      <c r="C21" s="22" t="n">
        <f aca="false">SUM(C16:C20)</f>
        <v>0</v>
      </c>
      <c r="D21" s="23" t="n">
        <f aca="false">IFERROR(C21/B21,0)</f>
        <v>0</v>
      </c>
      <c r="E21" s="22" t="n">
        <f aca="false">SUM(E16:E20)</f>
        <v>2065</v>
      </c>
    </row>
    <row r="24" customFormat="false" ht="15" hidden="false" customHeight="false" outlineLevel="0" collapsed="false">
      <c r="A24" s="4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6"/>
  </cols>
  <sheetData>
    <row r="1" customFormat="false" ht="17.35" hidden="false" customHeight="false" outlineLevel="0" collapsed="false">
      <c r="A1" s="1" t="s">
        <v>374</v>
      </c>
    </row>
    <row r="2" customFormat="false" ht="15" hidden="false" customHeight="false" outlineLevel="0" collapsed="false">
      <c r="A2" s="4" t="s">
        <v>375</v>
      </c>
    </row>
    <row r="4" customFormat="false" ht="15" hidden="false" customHeight="false" outlineLevel="0" collapsed="false">
      <c r="A4" s="26" t="s">
        <v>376</v>
      </c>
      <c r="B4" s="26" t="s">
        <v>377</v>
      </c>
    </row>
    <row r="5" customFormat="false" ht="15" hidden="false" customHeight="false" outlineLevel="0" collapsed="false">
      <c r="A5" s="7" t="s">
        <v>378</v>
      </c>
      <c r="B5" s="7" t="s">
        <v>379</v>
      </c>
    </row>
    <row r="6" customFormat="false" ht="15" hidden="false" customHeight="false" outlineLevel="0" collapsed="false">
      <c r="A6" s="7" t="s">
        <v>380</v>
      </c>
      <c r="B6" s="7" t="s">
        <v>381</v>
      </c>
    </row>
    <row r="7" customFormat="false" ht="15" hidden="false" customHeight="false" outlineLevel="0" collapsed="false">
      <c r="A7" s="7" t="s">
        <v>382</v>
      </c>
      <c r="B7" s="7" t="s">
        <v>383</v>
      </c>
    </row>
    <row r="8" customFormat="false" ht="15" hidden="false" customHeight="false" outlineLevel="0" collapsed="false">
      <c r="A8" s="7" t="s">
        <v>384</v>
      </c>
      <c r="B8" s="7" t="s">
        <v>385</v>
      </c>
    </row>
    <row r="9" customFormat="false" ht="15" hidden="false" customHeight="false" outlineLevel="0" collapsed="false">
      <c r="A9" s="7" t="s">
        <v>386</v>
      </c>
      <c r="B9" s="7" t="s">
        <v>385</v>
      </c>
    </row>
    <row r="10" customFormat="false" ht="15" hidden="false" customHeight="false" outlineLevel="0" collapsed="false">
      <c r="A10" s="7" t="s">
        <v>387</v>
      </c>
      <c r="B10" s="7" t="s">
        <v>388</v>
      </c>
    </row>
    <row r="11" customFormat="false" ht="15" hidden="false" customHeight="false" outlineLevel="0" collapsed="false">
      <c r="A11" s="7" t="s">
        <v>389</v>
      </c>
      <c r="B11" s="7" t="s">
        <v>390</v>
      </c>
    </row>
    <row r="12" customFormat="false" ht="15" hidden="false" customHeight="false" outlineLevel="0" collapsed="false">
      <c r="A12" s="7" t="s">
        <v>391</v>
      </c>
      <c r="B12" s="7" t="s">
        <v>392</v>
      </c>
    </row>
    <row r="13" customFormat="false" ht="15" hidden="false" customHeight="false" outlineLevel="0" collapsed="false">
      <c r="A13" s="7" t="s">
        <v>393</v>
      </c>
      <c r="B13" s="7" t="s">
        <v>394</v>
      </c>
    </row>
    <row r="14" customFormat="false" ht="15" hidden="false" customHeight="false" outlineLevel="0" collapsed="false">
      <c r="A14" s="7" t="s">
        <v>395</v>
      </c>
      <c r="B14" s="7" t="s">
        <v>396</v>
      </c>
    </row>
    <row r="15" customFormat="false" ht="15" hidden="false" customHeight="false" outlineLevel="0" collapsed="false">
      <c r="A15" s="7" t="s">
        <v>397</v>
      </c>
      <c r="B15" s="7" t="s">
        <v>398</v>
      </c>
    </row>
    <row r="16" customFormat="false" ht="15" hidden="false" customHeight="false" outlineLevel="0" collapsed="false">
      <c r="A16" s="7" t="s">
        <v>399</v>
      </c>
      <c r="B16" s="7" t="s">
        <v>398</v>
      </c>
    </row>
    <row r="17" customFormat="false" ht="15" hidden="false" customHeight="false" outlineLevel="0" collapsed="false">
      <c r="A17" s="7" t="s">
        <v>400</v>
      </c>
      <c r="B17" s="7" t="s">
        <v>401</v>
      </c>
    </row>
    <row r="18" customFormat="false" ht="15" hidden="false" customHeight="false" outlineLevel="0" collapsed="false">
      <c r="A18" s="7" t="s">
        <v>402</v>
      </c>
      <c r="B18" s="7" t="s">
        <v>401</v>
      </c>
    </row>
    <row r="19" customFormat="false" ht="15" hidden="false" customHeight="false" outlineLevel="0" collapsed="false">
      <c r="A19" s="7" t="s">
        <v>403</v>
      </c>
      <c r="B19" s="7" t="s">
        <v>404</v>
      </c>
    </row>
    <row r="20" customFormat="false" ht="15" hidden="false" customHeight="false" outlineLevel="0" collapsed="false">
      <c r="A20" s="7" t="s">
        <v>405</v>
      </c>
      <c r="B20" s="7" t="s">
        <v>406</v>
      </c>
    </row>
    <row r="21" customFormat="false" ht="15" hidden="false" customHeight="false" outlineLevel="0" collapsed="false">
      <c r="A21" s="7" t="s">
        <v>407</v>
      </c>
      <c r="B21" s="7" t="s">
        <v>408</v>
      </c>
    </row>
    <row r="22" customFormat="false" ht="15" hidden="false" customHeight="false" outlineLevel="0" collapsed="false">
      <c r="A22" s="7" t="s">
        <v>409</v>
      </c>
      <c r="B22" s="7" t="s">
        <v>410</v>
      </c>
    </row>
    <row r="23" customFormat="false" ht="15" hidden="false" customHeight="false" outlineLevel="0" collapsed="false">
      <c r="A23" s="7" t="s">
        <v>411</v>
      </c>
      <c r="B23" s="7" t="s">
        <v>412</v>
      </c>
    </row>
    <row r="24" customFormat="false" ht="15" hidden="false" customHeight="false" outlineLevel="0" collapsed="false">
      <c r="A24" s="7" t="s">
        <v>413</v>
      </c>
      <c r="B24" s="7" t="s">
        <v>414</v>
      </c>
    </row>
    <row r="25" customFormat="false" ht="15" hidden="false" customHeight="false" outlineLevel="0" collapsed="false">
      <c r="A25" s="7" t="s">
        <v>415</v>
      </c>
      <c r="B25" s="7" t="s">
        <v>410</v>
      </c>
    </row>
    <row r="26" customFormat="false" ht="15" hidden="false" customHeight="false" outlineLevel="0" collapsed="false">
      <c r="A26" s="7" t="s">
        <v>416</v>
      </c>
      <c r="B26" s="7" t="s">
        <v>417</v>
      </c>
    </row>
    <row r="27" customFormat="false" ht="15" hidden="false" customHeight="false" outlineLevel="0" collapsed="false">
      <c r="A27" s="7" t="s">
        <v>418</v>
      </c>
      <c r="B27" s="7" t="s">
        <v>410</v>
      </c>
    </row>
    <row r="28" customFormat="false" ht="15" hidden="false" customHeight="false" outlineLevel="0" collapsed="false">
      <c r="A28" s="7" t="s">
        <v>419</v>
      </c>
      <c r="B28" s="7" t="s">
        <v>417</v>
      </c>
    </row>
    <row r="29" customFormat="false" ht="15" hidden="false" customHeight="false" outlineLevel="0" collapsed="false">
      <c r="A29" s="7" t="s">
        <v>420</v>
      </c>
      <c r="B29" s="7" t="s">
        <v>417</v>
      </c>
    </row>
    <row r="30" customFormat="false" ht="15" hidden="false" customHeight="false" outlineLevel="0" collapsed="false">
      <c r="A30" s="7" t="s">
        <v>421</v>
      </c>
      <c r="B30" s="7" t="s">
        <v>422</v>
      </c>
    </row>
    <row r="31" customFormat="false" ht="15" hidden="false" customHeight="false" outlineLevel="0" collapsed="false">
      <c r="A31" s="7" t="s">
        <v>423</v>
      </c>
      <c r="B31" s="7" t="s">
        <v>424</v>
      </c>
    </row>
    <row r="32" customFormat="false" ht="15" hidden="false" customHeight="false" outlineLevel="0" collapsed="false">
      <c r="A32" s="7" t="s">
        <v>425</v>
      </c>
      <c r="B32" s="7" t="s">
        <v>426</v>
      </c>
    </row>
    <row r="33" customFormat="false" ht="15" hidden="false" customHeight="false" outlineLevel="0" collapsed="false">
      <c r="A33" s="7" t="s">
        <v>427</v>
      </c>
      <c r="B33" s="7" t="s">
        <v>426</v>
      </c>
    </row>
    <row r="34" customFormat="false" ht="15" hidden="false" customHeight="false" outlineLevel="0" collapsed="false">
      <c r="A34" s="7" t="s">
        <v>428</v>
      </c>
      <c r="B34" s="7" t="s">
        <v>429</v>
      </c>
    </row>
    <row r="35" customFormat="false" ht="15" hidden="false" customHeight="false" outlineLevel="0" collapsed="false">
      <c r="A35" s="7" t="s">
        <v>430</v>
      </c>
      <c r="B35" s="7" t="s">
        <v>431</v>
      </c>
    </row>
    <row r="36" customFormat="false" ht="15" hidden="false" customHeight="false" outlineLevel="0" collapsed="false">
      <c r="A36" s="7" t="s">
        <v>432</v>
      </c>
      <c r="B36" s="7" t="s">
        <v>431</v>
      </c>
    </row>
    <row r="37" customFormat="false" ht="15" hidden="false" customHeight="false" outlineLevel="0" collapsed="false">
      <c r="A37" s="7" t="s">
        <v>433</v>
      </c>
      <c r="B37" s="7" t="s">
        <v>434</v>
      </c>
    </row>
    <row r="38" customFormat="false" ht="15" hidden="false" customHeight="false" outlineLevel="0" collapsed="false">
      <c r="A38" s="7" t="s">
        <v>435</v>
      </c>
      <c r="B38" s="7" t="s">
        <v>436</v>
      </c>
    </row>
    <row r="39" customFormat="false" ht="15" hidden="false" customHeight="false" outlineLevel="0" collapsed="false">
      <c r="A39" s="7" t="s">
        <v>437</v>
      </c>
      <c r="B39" s="7" t="s">
        <v>438</v>
      </c>
    </row>
    <row r="40" customFormat="false" ht="15" hidden="false" customHeight="false" outlineLevel="0" collapsed="false">
      <c r="A40" s="7" t="s">
        <v>439</v>
      </c>
      <c r="B40" s="7" t="s">
        <v>440</v>
      </c>
    </row>
    <row r="41" customFormat="false" ht="15" hidden="false" customHeight="false" outlineLevel="0" collapsed="false">
      <c r="A41" s="7" t="s">
        <v>441</v>
      </c>
      <c r="B41" s="7" t="s">
        <v>442</v>
      </c>
    </row>
    <row r="42" customFormat="false" ht="15" hidden="false" customHeight="false" outlineLevel="0" collapsed="false">
      <c r="A42" s="7" t="s">
        <v>443</v>
      </c>
      <c r="B42" s="7" t="s">
        <v>444</v>
      </c>
    </row>
    <row r="43" customFormat="false" ht="15" hidden="false" customHeight="false" outlineLevel="0" collapsed="false">
      <c r="A43" s="7" t="s">
        <v>445</v>
      </c>
      <c r="B43" s="7" t="s">
        <v>446</v>
      </c>
    </row>
    <row r="44" customFormat="false" ht="15" hidden="false" customHeight="false" outlineLevel="0" collapsed="false">
      <c r="A44" s="7" t="s">
        <v>447</v>
      </c>
      <c r="B44" s="7" t="s">
        <v>438</v>
      </c>
    </row>
    <row r="45" customFormat="false" ht="15" hidden="false" customHeight="false" outlineLevel="0" collapsed="false">
      <c r="A45" s="7" t="s">
        <v>448</v>
      </c>
      <c r="B45" s="7" t="s">
        <v>449</v>
      </c>
    </row>
    <row r="46" customFormat="false" ht="15" hidden="false" customHeight="false" outlineLevel="0" collapsed="false">
      <c r="A46" s="7" t="s">
        <v>450</v>
      </c>
      <c r="B46" s="7" t="s">
        <v>451</v>
      </c>
    </row>
    <row r="47" customFormat="false" ht="15" hidden="false" customHeight="false" outlineLevel="0" collapsed="false">
      <c r="A47" s="7" t="s">
        <v>452</v>
      </c>
      <c r="B47" s="7" t="s">
        <v>426</v>
      </c>
    </row>
    <row r="48" customFormat="false" ht="15" hidden="false" customHeight="false" outlineLevel="0" collapsed="false">
      <c r="A48" s="7" t="s">
        <v>453</v>
      </c>
      <c r="B48" s="7" t="s">
        <v>454</v>
      </c>
    </row>
    <row r="49" customFormat="false" ht="15" hidden="false" customHeight="false" outlineLevel="0" collapsed="false">
      <c r="A49" s="7" t="s">
        <v>455</v>
      </c>
      <c r="B49" s="7" t="s">
        <v>456</v>
      </c>
    </row>
    <row r="50" customFormat="false" ht="15" hidden="false" customHeight="false" outlineLevel="0" collapsed="false">
      <c r="A50" s="7" t="s">
        <v>457</v>
      </c>
      <c r="B50" s="7" t="s">
        <v>458</v>
      </c>
    </row>
    <row r="51" customFormat="false" ht="15" hidden="false" customHeight="false" outlineLevel="0" collapsed="false">
      <c r="A51" s="7" t="s">
        <v>459</v>
      </c>
      <c r="B51" s="7" t="s">
        <v>460</v>
      </c>
    </row>
    <row r="52" customFormat="false" ht="15" hidden="false" customHeight="false" outlineLevel="0" collapsed="false">
      <c r="A52" s="7" t="s">
        <v>461</v>
      </c>
      <c r="B52" s="7" t="s">
        <v>462</v>
      </c>
    </row>
    <row r="53" customFormat="false" ht="15" hidden="false" customHeight="false" outlineLevel="0" collapsed="false">
      <c r="A53" s="7" t="s">
        <v>463</v>
      </c>
      <c r="B53" s="7" t="s">
        <v>464</v>
      </c>
    </row>
    <row r="54" customFormat="false" ht="15" hidden="false" customHeight="false" outlineLevel="0" collapsed="false">
      <c r="A54" s="7" t="s">
        <v>465</v>
      </c>
      <c r="B54" s="7" t="s">
        <v>379</v>
      </c>
    </row>
    <row r="55" customFormat="false" ht="15" hidden="false" customHeight="false" outlineLevel="0" collapsed="false">
      <c r="A55" s="7" t="s">
        <v>466</v>
      </c>
      <c r="B55" s="7" t="s">
        <v>467</v>
      </c>
    </row>
    <row r="56" customFormat="false" ht="15" hidden="false" customHeight="false" outlineLevel="0" collapsed="false">
      <c r="A56" s="7" t="s">
        <v>468</v>
      </c>
      <c r="B56" s="7" t="s">
        <v>469</v>
      </c>
    </row>
    <row r="57" customFormat="false" ht="15" hidden="false" customHeight="false" outlineLevel="0" collapsed="false">
      <c r="A57" s="7" t="s">
        <v>470</v>
      </c>
      <c r="B57" s="7" t="s">
        <v>471</v>
      </c>
    </row>
    <row r="58" customFormat="false" ht="15" hidden="false" customHeight="false" outlineLevel="0" collapsed="false">
      <c r="A58" s="7" t="s">
        <v>472</v>
      </c>
      <c r="B58" s="7" t="s">
        <v>473</v>
      </c>
    </row>
    <row r="59" customFormat="false" ht="15" hidden="false" customHeight="false" outlineLevel="0" collapsed="false">
      <c r="A59" s="7" t="s">
        <v>474</v>
      </c>
      <c r="B59" s="7" t="s">
        <v>475</v>
      </c>
    </row>
    <row r="60" customFormat="false" ht="15" hidden="false" customHeight="false" outlineLevel="0" collapsed="false">
      <c r="A60" s="7" t="s">
        <v>476</v>
      </c>
      <c r="B60" s="7" t="s">
        <v>381</v>
      </c>
    </row>
    <row r="61" customFormat="false" ht="15" hidden="false" customHeight="false" outlineLevel="0" collapsed="false">
      <c r="A61" s="7" t="s">
        <v>477</v>
      </c>
      <c r="B61" s="7" t="s">
        <v>383</v>
      </c>
    </row>
    <row r="62" customFormat="false" ht="15" hidden="false" customHeight="false" outlineLevel="0" collapsed="false">
      <c r="A62" s="7" t="s">
        <v>478</v>
      </c>
      <c r="B62" s="7" t="s">
        <v>479</v>
      </c>
    </row>
    <row r="63" customFormat="false" ht="15" hidden="false" customHeight="false" outlineLevel="0" collapsed="false">
      <c r="A63" s="7" t="s">
        <v>480</v>
      </c>
      <c r="B63" s="7" t="s">
        <v>481</v>
      </c>
    </row>
    <row r="64" customFormat="false" ht="15" hidden="false" customHeight="false" outlineLevel="0" collapsed="false">
      <c r="A64" s="7" t="s">
        <v>482</v>
      </c>
      <c r="B64" s="7" t="s">
        <v>483</v>
      </c>
    </row>
    <row r="65" customFormat="false" ht="15" hidden="false" customHeight="false" outlineLevel="0" collapsed="false">
      <c r="A65" s="7" t="s">
        <v>484</v>
      </c>
      <c r="B65" s="7" t="s">
        <v>485</v>
      </c>
    </row>
    <row r="66" customFormat="false" ht="15" hidden="false" customHeight="false" outlineLevel="0" collapsed="false">
      <c r="A66" s="7" t="s">
        <v>486</v>
      </c>
      <c r="B66" s="7" t="s">
        <v>396</v>
      </c>
    </row>
    <row r="67" customFormat="false" ht="15" hidden="false" customHeight="false" outlineLevel="0" collapsed="false">
      <c r="A67" s="7" t="s">
        <v>487</v>
      </c>
      <c r="B67" s="7" t="s">
        <v>488</v>
      </c>
    </row>
    <row r="68" customFormat="false" ht="15" hidden="false" customHeight="false" outlineLevel="0" collapsed="false">
      <c r="A68" s="7" t="s">
        <v>489</v>
      </c>
      <c r="B68" s="7" t="s">
        <v>490</v>
      </c>
    </row>
    <row r="69" customFormat="false" ht="15" hidden="false" customHeight="false" outlineLevel="0" collapsed="false">
      <c r="A69" s="7" t="s">
        <v>491</v>
      </c>
      <c r="B69" s="7" t="s">
        <v>492</v>
      </c>
    </row>
    <row r="70" customFormat="false" ht="15" hidden="false" customHeight="false" outlineLevel="0" collapsed="false">
      <c r="A70" s="7" t="s">
        <v>493</v>
      </c>
      <c r="B70" s="7" t="s">
        <v>494</v>
      </c>
    </row>
    <row r="71" customFormat="false" ht="15" hidden="false" customHeight="false" outlineLevel="0" collapsed="false">
      <c r="A71" s="7" t="s">
        <v>495</v>
      </c>
      <c r="B71" s="7" t="s">
        <v>496</v>
      </c>
    </row>
    <row r="72" customFormat="false" ht="15" hidden="false" customHeight="false" outlineLevel="0" collapsed="false">
      <c r="A72" s="7" t="s">
        <v>497</v>
      </c>
      <c r="B72" s="7" t="s">
        <v>498</v>
      </c>
    </row>
    <row r="73" customFormat="false" ht="15" hidden="false" customHeight="false" outlineLevel="0" collapsed="false">
      <c r="A73" s="7" t="s">
        <v>499</v>
      </c>
      <c r="B73" s="7" t="s">
        <v>417</v>
      </c>
    </row>
    <row r="74" customFormat="false" ht="15" hidden="false" customHeight="false" outlineLevel="0" collapsed="false">
      <c r="A74" s="7" t="s">
        <v>500</v>
      </c>
      <c r="B74" s="7" t="s">
        <v>501</v>
      </c>
    </row>
    <row r="75" customFormat="false" ht="15" hidden="false" customHeight="false" outlineLevel="0" collapsed="false">
      <c r="A75" s="7" t="s">
        <v>502</v>
      </c>
      <c r="B75" s="7" t="s">
        <v>503</v>
      </c>
    </row>
    <row r="76" customFormat="false" ht="15" hidden="false" customHeight="false" outlineLevel="0" collapsed="false">
      <c r="A76" s="7" t="s">
        <v>504</v>
      </c>
      <c r="B76" s="7" t="s">
        <v>505</v>
      </c>
    </row>
    <row r="77" customFormat="false" ht="15" hidden="false" customHeight="false" outlineLevel="0" collapsed="false">
      <c r="A77" s="7" t="s">
        <v>506</v>
      </c>
      <c r="B77" s="7" t="s">
        <v>507</v>
      </c>
    </row>
    <row r="78" customFormat="false" ht="15" hidden="false" customHeight="false" outlineLevel="0" collapsed="false">
      <c r="A78" s="7" t="s">
        <v>508</v>
      </c>
      <c r="B78" s="7" t="s">
        <v>509</v>
      </c>
    </row>
    <row r="79" customFormat="false" ht="15" hidden="false" customHeight="false" outlineLevel="0" collapsed="false">
      <c r="A79" s="7" t="s">
        <v>510</v>
      </c>
      <c r="B79" s="7" t="s">
        <v>511</v>
      </c>
    </row>
    <row r="80" customFormat="false" ht="15" hidden="false" customHeight="false" outlineLevel="0" collapsed="false">
      <c r="A80" s="7" t="s">
        <v>512</v>
      </c>
      <c r="B80" s="7" t="s">
        <v>410</v>
      </c>
    </row>
    <row r="81" customFormat="false" ht="15" hidden="false" customHeight="false" outlineLevel="0" collapsed="false">
      <c r="A81" s="7" t="s">
        <v>513</v>
      </c>
      <c r="B81" s="7" t="s">
        <v>514</v>
      </c>
    </row>
    <row r="82" customFormat="false" ht="15" hidden="false" customHeight="false" outlineLevel="0" collapsed="false">
      <c r="A82" s="7" t="s">
        <v>515</v>
      </c>
      <c r="B82" s="7" t="s">
        <v>396</v>
      </c>
    </row>
    <row r="83" customFormat="false" ht="15" hidden="false" customHeight="false" outlineLevel="0" collapsed="false">
      <c r="A83" s="7" t="s">
        <v>516</v>
      </c>
      <c r="B83" s="7" t="s">
        <v>517</v>
      </c>
    </row>
    <row r="84" customFormat="false" ht="15" hidden="false" customHeight="false" outlineLevel="0" collapsed="false">
      <c r="A84" s="7" t="s">
        <v>518</v>
      </c>
      <c r="B84" s="7" t="s">
        <v>417</v>
      </c>
    </row>
    <row r="85" customFormat="false" ht="15" hidden="false" customHeight="false" outlineLevel="0" collapsed="false">
      <c r="A85" s="7" t="s">
        <v>519</v>
      </c>
      <c r="B85" s="7" t="s">
        <v>401</v>
      </c>
    </row>
    <row r="86" customFormat="false" ht="15" hidden="false" customHeight="false" outlineLevel="0" collapsed="false">
      <c r="A86" s="7" t="s">
        <v>520</v>
      </c>
      <c r="B86" s="7" t="s">
        <v>521</v>
      </c>
    </row>
    <row r="87" customFormat="false" ht="15" hidden="false" customHeight="false" outlineLevel="0" collapsed="false">
      <c r="A87" s="7" t="s">
        <v>522</v>
      </c>
      <c r="B87" s="7" t="s">
        <v>523</v>
      </c>
    </row>
    <row r="88" customFormat="false" ht="15" hidden="false" customHeight="false" outlineLevel="0" collapsed="false">
      <c r="A88" s="7" t="s">
        <v>524</v>
      </c>
      <c r="B88" s="7" t="s">
        <v>396</v>
      </c>
    </row>
    <row r="89" customFormat="false" ht="15" hidden="false" customHeight="false" outlineLevel="0" collapsed="false">
      <c r="A89" s="7" t="s">
        <v>525</v>
      </c>
      <c r="B89" s="7" t="s">
        <v>396</v>
      </c>
    </row>
    <row r="90" customFormat="false" ht="15" hidden="false" customHeight="false" outlineLevel="0" collapsed="false">
      <c r="A90" s="7" t="s">
        <v>526</v>
      </c>
      <c r="B90" s="7" t="s">
        <v>527</v>
      </c>
    </row>
    <row r="91" customFormat="false" ht="15" hidden="false" customHeight="false" outlineLevel="0" collapsed="false">
      <c r="A91" s="7" t="s">
        <v>528</v>
      </c>
      <c r="B91" s="7" t="s">
        <v>529</v>
      </c>
    </row>
    <row r="92" customFormat="false" ht="15" hidden="false" customHeight="false" outlineLevel="0" collapsed="false">
      <c r="A92" s="7" t="s">
        <v>530</v>
      </c>
      <c r="B92" s="7" t="s">
        <v>398</v>
      </c>
    </row>
    <row r="93" customFormat="false" ht="15" hidden="false" customHeight="false" outlineLevel="0" collapsed="false">
      <c r="A93" s="7" t="s">
        <v>531</v>
      </c>
      <c r="B93" s="7" t="s">
        <v>532</v>
      </c>
    </row>
    <row r="94" customFormat="false" ht="15" hidden="false" customHeight="false" outlineLevel="0" collapsed="false">
      <c r="A94" s="7" t="s">
        <v>533</v>
      </c>
      <c r="B94" s="7" t="s">
        <v>534</v>
      </c>
    </row>
    <row r="95" customFormat="false" ht="15" hidden="false" customHeight="false" outlineLevel="0" collapsed="false">
      <c r="A95" s="7" t="s">
        <v>535</v>
      </c>
      <c r="B95" s="7" t="s">
        <v>536</v>
      </c>
    </row>
    <row r="96" customFormat="false" ht="15" hidden="false" customHeight="false" outlineLevel="0" collapsed="false">
      <c r="A96" s="7" t="s">
        <v>537</v>
      </c>
      <c r="B96" s="7" t="s">
        <v>396</v>
      </c>
    </row>
    <row r="97" customFormat="false" ht="15" hidden="false" customHeight="false" outlineLevel="0" collapsed="false">
      <c r="A97" s="7" t="s">
        <v>538</v>
      </c>
      <c r="B97" s="7" t="s">
        <v>539</v>
      </c>
    </row>
    <row r="98" customFormat="false" ht="15" hidden="false" customHeight="false" outlineLevel="0" collapsed="false">
      <c r="A98" s="7" t="s">
        <v>540</v>
      </c>
      <c r="B98" s="7" t="s">
        <v>396</v>
      </c>
    </row>
    <row r="99" customFormat="false" ht="15" hidden="false" customHeight="false" outlineLevel="0" collapsed="false">
      <c r="A99" s="7" t="s">
        <v>541</v>
      </c>
      <c r="B99" s="7" t="s">
        <v>542</v>
      </c>
    </row>
    <row r="100" customFormat="false" ht="15" hidden="false" customHeight="false" outlineLevel="0" collapsed="false">
      <c r="A100" s="7" t="s">
        <v>543</v>
      </c>
      <c r="B100" s="7" t="s">
        <v>544</v>
      </c>
    </row>
    <row r="101" customFormat="false" ht="15" hidden="false" customHeight="false" outlineLevel="0" collapsed="false">
      <c r="A101" s="7" t="s">
        <v>545</v>
      </c>
      <c r="B101" s="7" t="s">
        <v>546</v>
      </c>
    </row>
    <row r="102" customFormat="false" ht="15" hidden="false" customHeight="false" outlineLevel="0" collapsed="false">
      <c r="A102" s="7" t="s">
        <v>547</v>
      </c>
      <c r="B102" s="7" t="s">
        <v>548</v>
      </c>
    </row>
    <row r="103" customFormat="false" ht="15" hidden="false" customHeight="false" outlineLevel="0" collapsed="false">
      <c r="A103" s="7" t="s">
        <v>549</v>
      </c>
      <c r="B103" s="7" t="s">
        <v>396</v>
      </c>
    </row>
    <row r="104" customFormat="false" ht="15" hidden="false" customHeight="false" outlineLevel="0" collapsed="false">
      <c r="A104" s="7" t="s">
        <v>550</v>
      </c>
      <c r="B104" s="7" t="s">
        <v>551</v>
      </c>
    </row>
    <row r="105" customFormat="false" ht="15" hidden="false" customHeight="false" outlineLevel="0" collapsed="false">
      <c r="A105" s="7" t="s">
        <v>552</v>
      </c>
      <c r="B105" s="7" t="s">
        <v>410</v>
      </c>
    </row>
    <row r="106" customFormat="false" ht="15" hidden="false" customHeight="false" outlineLevel="0" collapsed="false">
      <c r="A106" s="7" t="s">
        <v>553</v>
      </c>
      <c r="B106" s="7" t="s">
        <v>554</v>
      </c>
    </row>
    <row r="107" customFormat="false" ht="15" hidden="false" customHeight="false" outlineLevel="0" collapsed="false">
      <c r="A107" s="7" t="s">
        <v>555</v>
      </c>
      <c r="B107" s="7" t="s">
        <v>556</v>
      </c>
    </row>
    <row r="108" customFormat="false" ht="15" hidden="false" customHeight="false" outlineLevel="0" collapsed="false">
      <c r="A108" s="7" t="s">
        <v>557</v>
      </c>
      <c r="B108" s="7" t="s">
        <v>558</v>
      </c>
    </row>
    <row r="109" customFormat="false" ht="15" hidden="false" customHeight="false" outlineLevel="0" collapsed="false">
      <c r="A109" s="7" t="s">
        <v>559</v>
      </c>
      <c r="B109" s="7" t="s">
        <v>560</v>
      </c>
    </row>
    <row r="110" customFormat="false" ht="15" hidden="false" customHeight="false" outlineLevel="0" collapsed="false">
      <c r="A110" s="7" t="s">
        <v>561</v>
      </c>
      <c r="B110" s="7" t="s">
        <v>562</v>
      </c>
    </row>
    <row r="111" customFormat="false" ht="15" hidden="false" customHeight="false" outlineLevel="0" collapsed="false">
      <c r="A111" s="7" t="s">
        <v>563</v>
      </c>
      <c r="B111" s="7" t="s">
        <v>564</v>
      </c>
    </row>
    <row r="112" customFormat="false" ht="15" hidden="false" customHeight="false" outlineLevel="0" collapsed="false">
      <c r="A112" s="7" t="s">
        <v>565</v>
      </c>
      <c r="B112" s="7" t="s">
        <v>566</v>
      </c>
    </row>
    <row r="113" customFormat="false" ht="15" hidden="false" customHeight="false" outlineLevel="0" collapsed="false">
      <c r="A113" s="7" t="s">
        <v>567</v>
      </c>
      <c r="B113" s="7" t="s">
        <v>396</v>
      </c>
    </row>
    <row r="114" customFormat="false" ht="15" hidden="false" customHeight="false" outlineLevel="0" collapsed="false">
      <c r="A114" s="7" t="s">
        <v>568</v>
      </c>
      <c r="B114" s="7" t="s">
        <v>536</v>
      </c>
    </row>
    <row r="115" customFormat="false" ht="15" hidden="false" customHeight="false" outlineLevel="0" collapsed="false">
      <c r="A115" s="7" t="s">
        <v>569</v>
      </c>
      <c r="B115" s="7" t="s">
        <v>570</v>
      </c>
    </row>
    <row r="116" customFormat="false" ht="15" hidden="false" customHeight="false" outlineLevel="0" collapsed="false">
      <c r="A116" s="7" t="s">
        <v>571</v>
      </c>
      <c r="B116" s="7" t="s">
        <v>572</v>
      </c>
    </row>
    <row r="117" customFormat="false" ht="15" hidden="false" customHeight="false" outlineLevel="0" collapsed="false">
      <c r="A117" s="7" t="s">
        <v>573</v>
      </c>
      <c r="B117" s="7" t="s">
        <v>574</v>
      </c>
    </row>
    <row r="118" customFormat="false" ht="15" hidden="false" customHeight="false" outlineLevel="0" collapsed="false">
      <c r="A118" s="7" t="s">
        <v>575</v>
      </c>
      <c r="B118" s="7" t="s">
        <v>417</v>
      </c>
    </row>
    <row r="119" customFormat="false" ht="15" hidden="false" customHeight="false" outlineLevel="0" collapsed="false">
      <c r="A119" s="7" t="s">
        <v>576</v>
      </c>
      <c r="B119" s="7" t="s">
        <v>417</v>
      </c>
    </row>
    <row r="120" customFormat="false" ht="15" hidden="false" customHeight="false" outlineLevel="0" collapsed="false">
      <c r="A120" s="7" t="s">
        <v>577</v>
      </c>
      <c r="B120" s="7" t="s">
        <v>396</v>
      </c>
    </row>
    <row r="121" customFormat="false" ht="15" hidden="false" customHeight="false" outlineLevel="0" collapsed="false">
      <c r="A121" s="7" t="s">
        <v>578</v>
      </c>
      <c r="B121" s="7" t="s">
        <v>579</v>
      </c>
    </row>
    <row r="122" customFormat="false" ht="15" hidden="false" customHeight="false" outlineLevel="0" collapsed="false">
      <c r="A122" s="7" t="s">
        <v>580</v>
      </c>
      <c r="B122" s="7" t="s">
        <v>579</v>
      </c>
    </row>
    <row r="123" customFormat="false" ht="15" hidden="false" customHeight="false" outlineLevel="0" collapsed="false">
      <c r="A123" s="7" t="s">
        <v>581</v>
      </c>
      <c r="B123" s="7" t="s">
        <v>396</v>
      </c>
    </row>
    <row r="124" customFormat="false" ht="15" hidden="false" customHeight="false" outlineLevel="0" collapsed="false">
      <c r="A124" s="7" t="s">
        <v>582</v>
      </c>
      <c r="B124" s="7" t="s">
        <v>542</v>
      </c>
    </row>
    <row r="125" customFormat="false" ht="15" hidden="false" customHeight="false" outlineLevel="0" collapsed="false">
      <c r="A125" s="7" t="s">
        <v>583</v>
      </c>
      <c r="B125" s="7" t="s">
        <v>584</v>
      </c>
    </row>
    <row r="126" customFormat="false" ht="15" hidden="false" customHeight="false" outlineLevel="0" collapsed="false">
      <c r="A126" s="7" t="s">
        <v>585</v>
      </c>
      <c r="B126" s="7" t="s">
        <v>586</v>
      </c>
    </row>
    <row r="127" customFormat="false" ht="15" hidden="false" customHeight="false" outlineLevel="0" collapsed="false">
      <c r="A127" s="7" t="s">
        <v>587</v>
      </c>
      <c r="B127" s="7" t="s">
        <v>588</v>
      </c>
    </row>
    <row r="128" customFormat="false" ht="15" hidden="false" customHeight="false" outlineLevel="0" collapsed="false">
      <c r="A128" s="7" t="s">
        <v>589</v>
      </c>
      <c r="B128" s="7" t="s">
        <v>590</v>
      </c>
    </row>
    <row r="129" customFormat="false" ht="15" hidden="false" customHeight="false" outlineLevel="0" collapsed="false">
      <c r="A129" s="7" t="s">
        <v>591</v>
      </c>
      <c r="B129" s="7" t="s">
        <v>584</v>
      </c>
    </row>
    <row r="130" customFormat="false" ht="15" hidden="false" customHeight="false" outlineLevel="0" collapsed="false">
      <c r="A130" s="7" t="s">
        <v>592</v>
      </c>
      <c r="B130" s="7" t="s">
        <v>410</v>
      </c>
    </row>
    <row r="131" customFormat="false" ht="15" hidden="false" customHeight="false" outlineLevel="0" collapsed="false">
      <c r="A131" s="7" t="s">
        <v>593</v>
      </c>
      <c r="B131" s="7" t="s">
        <v>594</v>
      </c>
    </row>
    <row r="132" customFormat="false" ht="15" hidden="false" customHeight="false" outlineLevel="0" collapsed="false">
      <c r="A132" s="7" t="s">
        <v>595</v>
      </c>
      <c r="B132" s="7" t="s">
        <v>596</v>
      </c>
    </row>
    <row r="133" customFormat="false" ht="15" hidden="false" customHeight="false" outlineLevel="0" collapsed="false">
      <c r="A133" s="7" t="s">
        <v>597</v>
      </c>
      <c r="B133" s="7" t="s">
        <v>598</v>
      </c>
    </row>
    <row r="134" customFormat="false" ht="15" hidden="false" customHeight="false" outlineLevel="0" collapsed="false">
      <c r="A134" s="7" t="s">
        <v>599</v>
      </c>
      <c r="B134" s="7" t="s">
        <v>600</v>
      </c>
    </row>
    <row r="135" customFormat="false" ht="15" hidden="false" customHeight="false" outlineLevel="0" collapsed="false">
      <c r="A135" s="7" t="s">
        <v>601</v>
      </c>
      <c r="B135" s="7" t="s">
        <v>602</v>
      </c>
    </row>
    <row r="136" customFormat="false" ht="15" hidden="false" customHeight="false" outlineLevel="0" collapsed="false">
      <c r="A136" s="7" t="s">
        <v>603</v>
      </c>
      <c r="B136" s="7" t="s">
        <v>604</v>
      </c>
    </row>
    <row r="137" customFormat="false" ht="15" hidden="false" customHeight="false" outlineLevel="0" collapsed="false">
      <c r="A137" s="7" t="s">
        <v>605</v>
      </c>
      <c r="B137" s="7" t="s">
        <v>606</v>
      </c>
    </row>
    <row r="138" customFormat="false" ht="15" hidden="false" customHeight="false" outlineLevel="0" collapsed="false">
      <c r="A138" s="7" t="s">
        <v>607</v>
      </c>
      <c r="B138" s="7" t="s">
        <v>608</v>
      </c>
    </row>
    <row r="139" customFormat="false" ht="15" hidden="false" customHeight="false" outlineLevel="0" collapsed="false">
      <c r="A139" s="7" t="s">
        <v>609</v>
      </c>
      <c r="B139" s="7" t="s">
        <v>610</v>
      </c>
    </row>
    <row r="140" customFormat="false" ht="15" hidden="false" customHeight="false" outlineLevel="0" collapsed="false">
      <c r="A140" s="7" t="s">
        <v>611</v>
      </c>
      <c r="B140" s="7" t="s">
        <v>612</v>
      </c>
    </row>
    <row r="141" customFormat="false" ht="15" hidden="false" customHeight="false" outlineLevel="0" collapsed="false">
      <c r="A141" s="7" t="s">
        <v>613</v>
      </c>
      <c r="B141" s="7" t="s">
        <v>614</v>
      </c>
    </row>
    <row r="142" customFormat="false" ht="15" hidden="false" customHeight="false" outlineLevel="0" collapsed="false">
      <c r="A142" s="7" t="s">
        <v>615</v>
      </c>
      <c r="B142" s="7" t="s">
        <v>579</v>
      </c>
    </row>
    <row r="143" customFormat="false" ht="15" hidden="false" customHeight="false" outlineLevel="0" collapsed="false">
      <c r="A143" s="7" t="s">
        <v>616</v>
      </c>
      <c r="B143" s="7" t="s">
        <v>602</v>
      </c>
    </row>
    <row r="144" customFormat="false" ht="15" hidden="false" customHeight="false" outlineLevel="0" collapsed="false">
      <c r="A144" s="7" t="s">
        <v>617</v>
      </c>
      <c r="B144" s="7" t="s">
        <v>618</v>
      </c>
    </row>
    <row r="145" customFormat="false" ht="15" hidden="false" customHeight="false" outlineLevel="0" collapsed="false">
      <c r="A145" s="7" t="s">
        <v>619</v>
      </c>
      <c r="B145" s="7" t="s">
        <v>507</v>
      </c>
    </row>
    <row r="146" customFormat="false" ht="15" hidden="false" customHeight="false" outlineLevel="0" collapsed="false">
      <c r="A146" s="7" t="s">
        <v>620</v>
      </c>
      <c r="B146" s="7" t="s">
        <v>410</v>
      </c>
    </row>
    <row r="147" customFormat="false" ht="15" hidden="false" customHeight="false" outlineLevel="0" collapsed="false">
      <c r="A147" s="7" t="s">
        <v>621</v>
      </c>
      <c r="B147" s="7" t="s">
        <v>579</v>
      </c>
    </row>
    <row r="148" customFormat="false" ht="15" hidden="false" customHeight="false" outlineLevel="0" collapsed="false">
      <c r="A148" s="7" t="s">
        <v>622</v>
      </c>
      <c r="B148" s="7" t="s">
        <v>623</v>
      </c>
    </row>
    <row r="149" customFormat="false" ht="15" hidden="false" customHeight="false" outlineLevel="0" collapsed="false">
      <c r="A149" s="7" t="s">
        <v>624</v>
      </c>
      <c r="B149" s="7" t="s">
        <v>548</v>
      </c>
    </row>
    <row r="150" customFormat="false" ht="15" hidden="false" customHeight="false" outlineLevel="0" collapsed="false">
      <c r="A150" s="7" t="s">
        <v>625</v>
      </c>
      <c r="B150" s="7" t="s">
        <v>626</v>
      </c>
    </row>
    <row r="151" customFormat="false" ht="15" hidden="false" customHeight="false" outlineLevel="0" collapsed="false">
      <c r="A151" s="7" t="s">
        <v>627</v>
      </c>
      <c r="B151" s="7" t="s">
        <v>454</v>
      </c>
    </row>
    <row r="152" customFormat="false" ht="15" hidden="false" customHeight="false" outlineLevel="0" collapsed="false">
      <c r="A152" s="7" t="s">
        <v>628</v>
      </c>
      <c r="B152" s="7" t="s">
        <v>629</v>
      </c>
    </row>
    <row r="153" customFormat="false" ht="15" hidden="false" customHeight="false" outlineLevel="0" collapsed="false">
      <c r="A153" s="7" t="s">
        <v>630</v>
      </c>
      <c r="B153" s="7" t="s">
        <v>579</v>
      </c>
    </row>
    <row r="154" customFormat="false" ht="15" hidden="false" customHeight="false" outlineLevel="0" collapsed="false">
      <c r="A154" s="7" t="s">
        <v>631</v>
      </c>
      <c r="B154" s="7" t="s">
        <v>529</v>
      </c>
    </row>
    <row r="155" customFormat="false" ht="15" hidden="false" customHeight="false" outlineLevel="0" collapsed="false">
      <c r="A155" s="7" t="s">
        <v>632</v>
      </c>
      <c r="B155" s="7" t="s">
        <v>401</v>
      </c>
    </row>
    <row r="156" customFormat="false" ht="15" hidden="false" customHeight="false" outlineLevel="0" collapsed="false">
      <c r="A156" s="7" t="s">
        <v>633</v>
      </c>
      <c r="B156" s="7" t="s">
        <v>584</v>
      </c>
    </row>
    <row r="157" customFormat="false" ht="15" hidden="false" customHeight="false" outlineLevel="0" collapsed="false">
      <c r="A157" s="7" t="s">
        <v>634</v>
      </c>
      <c r="B157" s="7" t="s">
        <v>635</v>
      </c>
    </row>
    <row r="158" customFormat="false" ht="15" hidden="false" customHeight="false" outlineLevel="0" collapsed="false">
      <c r="A158" s="7" t="s">
        <v>636</v>
      </c>
      <c r="B158" s="7" t="s">
        <v>574</v>
      </c>
    </row>
    <row r="159" customFormat="false" ht="15" hidden="false" customHeight="false" outlineLevel="0" collapsed="false">
      <c r="A159" s="7" t="s">
        <v>637</v>
      </c>
      <c r="B159" s="7" t="s">
        <v>638</v>
      </c>
    </row>
    <row r="160" customFormat="false" ht="15" hidden="false" customHeight="false" outlineLevel="0" collapsed="false">
      <c r="A160" s="7" t="s">
        <v>639</v>
      </c>
      <c r="B160" s="7" t="s">
        <v>640</v>
      </c>
    </row>
    <row r="161" customFormat="false" ht="15" hidden="false" customHeight="false" outlineLevel="0" collapsed="false">
      <c r="A161" s="7" t="s">
        <v>641</v>
      </c>
      <c r="B161" s="7" t="s">
        <v>642</v>
      </c>
    </row>
    <row r="162" customFormat="false" ht="15" hidden="false" customHeight="false" outlineLevel="0" collapsed="false">
      <c r="A162" s="7" t="s">
        <v>643</v>
      </c>
      <c r="B162" s="7" t="s">
        <v>606</v>
      </c>
    </row>
    <row r="163" customFormat="false" ht="15" hidden="false" customHeight="false" outlineLevel="0" collapsed="false">
      <c r="A163" s="7" t="s">
        <v>644</v>
      </c>
      <c r="B163" s="7" t="s">
        <v>645</v>
      </c>
    </row>
    <row r="164" customFormat="false" ht="15" hidden="false" customHeight="false" outlineLevel="0" collapsed="false">
      <c r="A164" s="7" t="s">
        <v>646</v>
      </c>
      <c r="B164" s="7" t="s">
        <v>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</cols>
  <sheetData>
    <row r="1" customFormat="false" ht="17.35" hidden="false" customHeight="false" outlineLevel="0" collapsed="false">
      <c r="A1" s="1" t="s">
        <v>648</v>
      </c>
    </row>
    <row r="2" customFormat="false" ht="45" hidden="false" customHeight="true" outlineLevel="0" collapsed="false">
      <c r="A2" s="27" t="s">
        <v>649</v>
      </c>
      <c r="B2" s="27"/>
    </row>
    <row r="4" customFormat="false" ht="15" hidden="false" customHeight="false" outlineLevel="0" collapsed="false">
      <c r="A4" s="26" t="s">
        <v>43</v>
      </c>
      <c r="B4" s="26" t="s">
        <v>650</v>
      </c>
    </row>
    <row r="5" customFormat="false" ht="15" hidden="false" customHeight="false" outlineLevel="0" collapsed="false">
      <c r="A5" s="7" t="s">
        <v>651</v>
      </c>
      <c r="B5" s="8"/>
    </row>
    <row r="6" customFormat="false" ht="15" hidden="false" customHeight="false" outlineLevel="0" collapsed="false">
      <c r="A6" s="7" t="s">
        <v>652</v>
      </c>
      <c r="B6" s="8"/>
    </row>
    <row r="7" customFormat="false" ht="15" hidden="false" customHeight="false" outlineLevel="0" collapsed="false">
      <c r="A7" s="7" t="s">
        <v>653</v>
      </c>
      <c r="B7" s="8"/>
    </row>
    <row r="8" customFormat="false" ht="15" hidden="false" customHeight="false" outlineLevel="0" collapsed="false">
      <c r="A8" s="7" t="s">
        <v>654</v>
      </c>
      <c r="B8" s="8"/>
    </row>
    <row r="9" customFormat="false" ht="15" hidden="false" customHeight="false" outlineLevel="0" collapsed="false">
      <c r="A9" s="7" t="s">
        <v>655</v>
      </c>
      <c r="B9" s="8"/>
    </row>
    <row r="10" customFormat="false" ht="15" hidden="false" customHeight="false" outlineLevel="0" collapsed="false">
      <c r="A10" s="7" t="s">
        <v>656</v>
      </c>
      <c r="B10" s="8"/>
    </row>
    <row r="11" customFormat="false" ht="15" hidden="false" customHeight="false" outlineLevel="0" collapsed="false">
      <c r="A11" s="7" t="s">
        <v>657</v>
      </c>
      <c r="B11" s="8"/>
    </row>
    <row r="12" customFormat="false" ht="15" hidden="false" customHeight="false" outlineLevel="0" collapsed="false">
      <c r="A12" s="7" t="s">
        <v>658</v>
      </c>
      <c r="B12" s="8"/>
    </row>
    <row r="13" customFormat="false" ht="15" hidden="false" customHeight="false" outlineLevel="0" collapsed="false">
      <c r="A13" s="7" t="s">
        <v>659</v>
      </c>
      <c r="B13" s="8"/>
    </row>
    <row r="14" customFormat="false" ht="15" hidden="false" customHeight="false" outlineLevel="0" collapsed="false">
      <c r="A14" s="7" t="s">
        <v>660</v>
      </c>
      <c r="B14" s="8"/>
    </row>
    <row r="15" customFormat="false" ht="15" hidden="false" customHeight="false" outlineLevel="0" collapsed="false">
      <c r="A15" s="7" t="s">
        <v>661</v>
      </c>
      <c r="B15" s="8"/>
    </row>
    <row r="16" customFormat="false" ht="15" hidden="false" customHeight="false" outlineLevel="0" collapsed="false">
      <c r="A16" s="7" t="s">
        <v>662</v>
      </c>
      <c r="B16" s="8"/>
    </row>
    <row r="17" customFormat="false" ht="15" hidden="false" customHeight="false" outlineLevel="0" collapsed="false">
      <c r="A17" s="7" t="s">
        <v>663</v>
      </c>
      <c r="B17" s="8"/>
    </row>
    <row r="18" customFormat="false" ht="15" hidden="false" customHeight="false" outlineLevel="0" collapsed="false">
      <c r="A18" s="7" t="s">
        <v>664</v>
      </c>
      <c r="B18" s="8"/>
    </row>
    <row r="19" customFormat="false" ht="15" hidden="false" customHeight="false" outlineLevel="0" collapsed="false">
      <c r="A19" s="7" t="s">
        <v>665</v>
      </c>
      <c r="B19" s="8"/>
    </row>
    <row r="20" customFormat="false" ht="15" hidden="false" customHeight="false" outlineLevel="0" collapsed="false">
      <c r="A20" s="7" t="s">
        <v>666</v>
      </c>
      <c r="B20" s="8"/>
    </row>
    <row r="21" customFormat="false" ht="15" hidden="false" customHeight="false" outlineLevel="0" collapsed="false">
      <c r="A21" s="7" t="s">
        <v>667</v>
      </c>
      <c r="B21" s="8"/>
    </row>
    <row r="22" customFormat="false" ht="15" hidden="false" customHeight="false" outlineLevel="0" collapsed="false">
      <c r="A22" s="7" t="s">
        <v>668</v>
      </c>
      <c r="B22" s="8"/>
    </row>
    <row r="23" customFormat="false" ht="15" hidden="false" customHeight="false" outlineLevel="0" collapsed="false">
      <c r="A23" s="7" t="s">
        <v>669</v>
      </c>
      <c r="B23" s="8"/>
    </row>
    <row r="24" customFormat="false" ht="15" hidden="false" customHeight="false" outlineLevel="0" collapsed="false">
      <c r="A24" s="7" t="s">
        <v>670</v>
      </c>
      <c r="B24" s="8"/>
    </row>
    <row r="25" customFormat="false" ht="15" hidden="false" customHeight="false" outlineLevel="0" collapsed="false">
      <c r="A25" s="7" t="s">
        <v>671</v>
      </c>
      <c r="B25" s="8"/>
    </row>
    <row r="26" customFormat="false" ht="15" hidden="false" customHeight="false" outlineLevel="0" collapsed="false">
      <c r="A26" s="7" t="s">
        <v>672</v>
      </c>
      <c r="B26" s="8"/>
    </row>
    <row r="27" customFormat="false" ht="15" hidden="false" customHeight="false" outlineLevel="0" collapsed="false">
      <c r="A27" s="7" t="s">
        <v>673</v>
      </c>
      <c r="B27" s="8"/>
    </row>
    <row r="28" customFormat="false" ht="15" hidden="false" customHeight="false" outlineLevel="0" collapsed="false">
      <c r="A28" s="7" t="s">
        <v>674</v>
      </c>
      <c r="B28" s="8"/>
    </row>
    <row r="29" customFormat="false" ht="15" hidden="false" customHeight="false" outlineLevel="0" collapsed="false">
      <c r="A29" s="7" t="s">
        <v>675</v>
      </c>
      <c r="B29" s="8"/>
    </row>
    <row r="30" customFormat="false" ht="15" hidden="false" customHeight="false" outlineLevel="0" collapsed="false">
      <c r="A30" s="7" t="s">
        <v>676</v>
      </c>
      <c r="B30" s="8"/>
    </row>
    <row r="31" customFormat="false" ht="15" hidden="false" customHeight="false" outlineLevel="0" collapsed="false">
      <c r="A31" s="7" t="s">
        <v>677</v>
      </c>
      <c r="B31" s="8"/>
    </row>
    <row r="32" customFormat="false" ht="15" hidden="false" customHeight="false" outlineLevel="0" collapsed="false">
      <c r="A32" s="7" t="s">
        <v>678</v>
      </c>
      <c r="B32" s="8"/>
    </row>
    <row r="33" customFormat="false" ht="15" hidden="false" customHeight="false" outlineLevel="0" collapsed="false">
      <c r="A33" s="7" t="s">
        <v>679</v>
      </c>
      <c r="B33" s="8"/>
    </row>
    <row r="34" customFormat="false" ht="15" hidden="false" customHeight="false" outlineLevel="0" collapsed="false">
      <c r="A34" s="7" t="s">
        <v>680</v>
      </c>
      <c r="B34" s="8"/>
    </row>
    <row r="35" customFormat="false" ht="15" hidden="false" customHeight="false" outlineLevel="0" collapsed="false">
      <c r="A35" s="7" t="s">
        <v>681</v>
      </c>
      <c r="B35" s="8"/>
    </row>
    <row r="36" customFormat="false" ht="15" hidden="false" customHeight="false" outlineLevel="0" collapsed="false">
      <c r="A36" s="7" t="s">
        <v>682</v>
      </c>
      <c r="B36" s="8"/>
    </row>
    <row r="37" customFormat="false" ht="15" hidden="false" customHeight="false" outlineLevel="0" collapsed="false">
      <c r="A37" s="7" t="s">
        <v>683</v>
      </c>
      <c r="B37" s="8"/>
    </row>
    <row r="38" customFormat="false" ht="15" hidden="false" customHeight="false" outlineLevel="0" collapsed="false">
      <c r="A38" s="7" t="s">
        <v>684</v>
      </c>
      <c r="B38" s="8"/>
    </row>
    <row r="39" customFormat="false" ht="15" hidden="false" customHeight="false" outlineLevel="0" collapsed="false">
      <c r="A39" s="7" t="s">
        <v>685</v>
      </c>
      <c r="B39" s="8"/>
    </row>
    <row r="40" customFormat="false" ht="15" hidden="false" customHeight="false" outlineLevel="0" collapsed="false">
      <c r="A40" s="7" t="s">
        <v>686</v>
      </c>
      <c r="B40" s="8"/>
    </row>
    <row r="41" customFormat="false" ht="15" hidden="false" customHeight="false" outlineLevel="0" collapsed="false">
      <c r="A41" s="7" t="s">
        <v>687</v>
      </c>
      <c r="B41" s="8"/>
    </row>
    <row r="42" customFormat="false" ht="15" hidden="false" customHeight="false" outlineLevel="0" collapsed="false">
      <c r="A42" s="7" t="s">
        <v>688</v>
      </c>
      <c r="B42" s="8"/>
    </row>
    <row r="43" customFormat="false" ht="15" hidden="false" customHeight="false" outlineLevel="0" collapsed="false">
      <c r="A43" s="7" t="s">
        <v>689</v>
      </c>
      <c r="B43" s="8"/>
    </row>
    <row r="44" customFormat="false" ht="15" hidden="false" customHeight="false" outlineLevel="0" collapsed="false">
      <c r="A44" s="7" t="s">
        <v>690</v>
      </c>
      <c r="B44" s="8"/>
    </row>
    <row r="45" customFormat="false" ht="15" hidden="false" customHeight="false" outlineLevel="0" collapsed="false">
      <c r="A45" s="7" t="s">
        <v>691</v>
      </c>
      <c r="B45" s="8"/>
    </row>
    <row r="46" customFormat="false" ht="15" hidden="false" customHeight="false" outlineLevel="0" collapsed="false">
      <c r="A46" s="7" t="s">
        <v>692</v>
      </c>
      <c r="B46" s="8"/>
    </row>
    <row r="47" customFormat="false" ht="15" hidden="false" customHeight="false" outlineLevel="0" collapsed="false">
      <c r="A47" s="7" t="s">
        <v>693</v>
      </c>
      <c r="B47" s="8"/>
    </row>
    <row r="48" customFormat="false" ht="15" hidden="false" customHeight="false" outlineLevel="0" collapsed="false">
      <c r="A48" s="7" t="s">
        <v>694</v>
      </c>
      <c r="B48" s="8"/>
    </row>
    <row r="49" customFormat="false" ht="15" hidden="false" customHeight="false" outlineLevel="0" collapsed="false">
      <c r="A49" s="7" t="s">
        <v>695</v>
      </c>
      <c r="B49" s="8"/>
    </row>
    <row r="50" customFormat="false" ht="15" hidden="false" customHeight="false" outlineLevel="0" collapsed="false">
      <c r="A50" s="7" t="s">
        <v>696</v>
      </c>
      <c r="B50" s="8"/>
    </row>
    <row r="51" customFormat="false" ht="15" hidden="false" customHeight="false" outlineLevel="0" collapsed="false">
      <c r="A51" s="7" t="s">
        <v>697</v>
      </c>
      <c r="B51" s="8"/>
    </row>
    <row r="52" customFormat="false" ht="15" hidden="false" customHeight="false" outlineLevel="0" collapsed="false">
      <c r="A52" s="7" t="s">
        <v>698</v>
      </c>
      <c r="B52" s="8"/>
    </row>
    <row r="53" customFormat="false" ht="15" hidden="false" customHeight="false" outlineLevel="0" collapsed="false">
      <c r="A53" s="7" t="s">
        <v>699</v>
      </c>
      <c r="B53" s="8"/>
    </row>
    <row r="54" customFormat="false" ht="15" hidden="false" customHeight="false" outlineLevel="0" collapsed="false">
      <c r="A54" s="7" t="s">
        <v>700</v>
      </c>
      <c r="B54" s="8"/>
    </row>
    <row r="55" customFormat="false" ht="15" hidden="false" customHeight="false" outlineLevel="0" collapsed="false">
      <c r="A55" s="7" t="s">
        <v>701</v>
      </c>
      <c r="B55" s="8"/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2026-07-28T23:46:57Z</dcterms:created>
  <dc:creator>openpyxl</dc:creator>
  <dc:description/>
  <dc:language>en-US</dc:language>
  <cp:lastModifiedBy/>
  <dcterms:modified xsi:type="dcterms:W3CDTF">2026-07-28T23:46:57Z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